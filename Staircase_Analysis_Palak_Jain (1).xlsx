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7E407E5-4807-4F73-80BD-85E36A601829}" xr6:coauthVersionLast="36" xr6:coauthVersionMax="36" xr10:uidLastSave="{00000000-0000-0000-0000-000000000000}"/>
  <bookViews>
    <workbookView xWindow="0" yWindow="0" windowWidth="16380" windowHeight="8196" tabRatio="500" xr2:uid="{00000000-000D-0000-FFFF-FFFF00000000}"/>
  </bookViews>
  <sheets>
    <sheet name="Data" sheetId="1" r:id="rId1"/>
    <sheet name="Analysis" sheetId="2" r:id="rId2"/>
    <sheet name="Graphs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2" l="1"/>
  <c r="B8" i="2"/>
  <c r="B5" i="2"/>
  <c r="AC101" i="1"/>
  <c r="AB101" i="1"/>
  <c r="AA101" i="1"/>
  <c r="AC100" i="1"/>
  <c r="AB100" i="1"/>
  <c r="AA100" i="1"/>
  <c r="AC99" i="1"/>
  <c r="AB99" i="1"/>
  <c r="AA99" i="1"/>
  <c r="AC98" i="1"/>
  <c r="AB98" i="1"/>
  <c r="AA98" i="1"/>
  <c r="AC97" i="1"/>
  <c r="AB97" i="1"/>
  <c r="AA97" i="1"/>
  <c r="AC96" i="1"/>
  <c r="AB96" i="1"/>
  <c r="AA96" i="1"/>
  <c r="AC95" i="1"/>
  <c r="AB95" i="1"/>
  <c r="AA95" i="1"/>
  <c r="AC94" i="1"/>
  <c r="AB94" i="1"/>
  <c r="AA94" i="1"/>
  <c r="AC93" i="1"/>
  <c r="AB93" i="1"/>
  <c r="AA93" i="1"/>
  <c r="AC92" i="1"/>
  <c r="AB92" i="1"/>
  <c r="AA92" i="1"/>
  <c r="AC91" i="1"/>
  <c r="AB91" i="1"/>
  <c r="AA91" i="1"/>
  <c r="AC90" i="1"/>
  <c r="AB90" i="1"/>
  <c r="AA90" i="1"/>
  <c r="AC89" i="1"/>
  <c r="AB89" i="1"/>
  <c r="AA89" i="1"/>
  <c r="AC88" i="1"/>
  <c r="AB88" i="1"/>
  <c r="AA88" i="1"/>
  <c r="AC87" i="1"/>
  <c r="AB87" i="1"/>
  <c r="AA87" i="1"/>
  <c r="AC86" i="1"/>
  <c r="AB86" i="1"/>
  <c r="AA86" i="1"/>
  <c r="AC85" i="1"/>
  <c r="AB85" i="1"/>
  <c r="AA85" i="1"/>
  <c r="AC84" i="1"/>
  <c r="AB84" i="1"/>
  <c r="AA84" i="1"/>
  <c r="AC83" i="1"/>
  <c r="AB83" i="1"/>
  <c r="AA83" i="1"/>
  <c r="AC82" i="1"/>
  <c r="AB82" i="1"/>
  <c r="AA82" i="1"/>
  <c r="AC81" i="1"/>
  <c r="AB81" i="1"/>
  <c r="AA81" i="1"/>
  <c r="AC80" i="1"/>
  <c r="AB80" i="1"/>
  <c r="AA80" i="1"/>
  <c r="AC79" i="1"/>
  <c r="AB79" i="1"/>
  <c r="AA79" i="1"/>
  <c r="AC78" i="1"/>
  <c r="AB78" i="1"/>
  <c r="AA78" i="1"/>
  <c r="AC77" i="1"/>
  <c r="AB77" i="1"/>
  <c r="AA77" i="1"/>
  <c r="AC76" i="1"/>
  <c r="AB76" i="1"/>
  <c r="AA76" i="1"/>
  <c r="AC75" i="1"/>
  <c r="AB75" i="1"/>
  <c r="AA75" i="1"/>
  <c r="AC74" i="1"/>
  <c r="AB74" i="1"/>
  <c r="AA74" i="1"/>
  <c r="AC73" i="1"/>
  <c r="AB73" i="1"/>
  <c r="AA73" i="1"/>
  <c r="AC72" i="1"/>
  <c r="AB72" i="1"/>
  <c r="AA72" i="1"/>
  <c r="AC71" i="1"/>
  <c r="AB71" i="1"/>
  <c r="AA71" i="1"/>
  <c r="AC70" i="1"/>
  <c r="AB70" i="1"/>
  <c r="AA70" i="1"/>
  <c r="AC69" i="1"/>
  <c r="AB69" i="1"/>
  <c r="AA69" i="1"/>
  <c r="AC68" i="1"/>
  <c r="AB68" i="1"/>
  <c r="AA68" i="1"/>
  <c r="AC67" i="1"/>
  <c r="AB67" i="1"/>
  <c r="AA67" i="1"/>
  <c r="AC66" i="1"/>
  <c r="AB66" i="1"/>
  <c r="AA66" i="1"/>
  <c r="AC65" i="1"/>
  <c r="AB65" i="1"/>
  <c r="AA65" i="1"/>
  <c r="AC64" i="1"/>
  <c r="AB64" i="1"/>
  <c r="AA64" i="1"/>
  <c r="AC63" i="1"/>
  <c r="AB63" i="1"/>
  <c r="AA63" i="1"/>
  <c r="AC62" i="1"/>
  <c r="AB62" i="1"/>
  <c r="AA62" i="1"/>
  <c r="AC61" i="1"/>
  <c r="AB61" i="1"/>
  <c r="AA61" i="1"/>
  <c r="AC60" i="1"/>
  <c r="AB60" i="1"/>
  <c r="AA60" i="1"/>
  <c r="AC59" i="1"/>
  <c r="AB59" i="1"/>
  <c r="AA59" i="1"/>
  <c r="AC58" i="1"/>
  <c r="AB58" i="1"/>
  <c r="AA58" i="1"/>
  <c r="AC57" i="1"/>
  <c r="AB57" i="1"/>
  <c r="AA57" i="1"/>
  <c r="AC56" i="1"/>
  <c r="AB56" i="1"/>
  <c r="AA56" i="1"/>
  <c r="AC55" i="1"/>
  <c r="AB55" i="1"/>
  <c r="AA55" i="1"/>
  <c r="AC54" i="1"/>
  <c r="AB54" i="1"/>
  <c r="AA54" i="1"/>
  <c r="AC53" i="1"/>
  <c r="AB53" i="1"/>
  <c r="AA53" i="1"/>
  <c r="AC52" i="1"/>
  <c r="AB52" i="1"/>
  <c r="AA52" i="1"/>
  <c r="AC51" i="1"/>
  <c r="AB51" i="1"/>
  <c r="AA51" i="1"/>
  <c r="AC50" i="1"/>
  <c r="AB50" i="1"/>
  <c r="AA50" i="1"/>
  <c r="AC49" i="1"/>
  <c r="AB49" i="1"/>
  <c r="AA49" i="1"/>
  <c r="AC48" i="1"/>
  <c r="AB48" i="1"/>
  <c r="AA48" i="1"/>
  <c r="AC47" i="1"/>
  <c r="AB47" i="1"/>
  <c r="AA47" i="1"/>
  <c r="AC46" i="1"/>
  <c r="AB46" i="1"/>
  <c r="AA46" i="1"/>
  <c r="AC45" i="1"/>
  <c r="AB45" i="1"/>
  <c r="AA45" i="1"/>
  <c r="AC44" i="1"/>
  <c r="AB44" i="1"/>
  <c r="AA44" i="1"/>
  <c r="AC43" i="1"/>
  <c r="AB43" i="1"/>
  <c r="AA43" i="1"/>
  <c r="AC42" i="1"/>
  <c r="AB42" i="1"/>
  <c r="AA42" i="1"/>
  <c r="AC41" i="1"/>
  <c r="AB41" i="1"/>
  <c r="AA41" i="1"/>
  <c r="AC40" i="1"/>
  <c r="AB40" i="1"/>
  <c r="AA40" i="1"/>
  <c r="AC39" i="1"/>
  <c r="AB39" i="1"/>
  <c r="AA39" i="1"/>
  <c r="AC38" i="1"/>
  <c r="AB38" i="1"/>
  <c r="AA38" i="1"/>
  <c r="AC37" i="1"/>
  <c r="AB37" i="1"/>
  <c r="AA37" i="1"/>
  <c r="AC36" i="1"/>
  <c r="AB36" i="1"/>
  <c r="AA36" i="1"/>
  <c r="AC35" i="1"/>
  <c r="AB35" i="1"/>
  <c r="AA35" i="1"/>
  <c r="AC34" i="1"/>
  <c r="AB34" i="1"/>
  <c r="AA34" i="1"/>
  <c r="AC33" i="1"/>
  <c r="AB33" i="1"/>
  <c r="AA33" i="1"/>
  <c r="AC32" i="1"/>
  <c r="AB32" i="1"/>
  <c r="AA32" i="1"/>
  <c r="AC31" i="1"/>
  <c r="AB31" i="1"/>
  <c r="AA31" i="1"/>
  <c r="AC30" i="1"/>
  <c r="AB30" i="1"/>
  <c r="AA30" i="1"/>
  <c r="AC29" i="1"/>
  <c r="AB29" i="1"/>
  <c r="AA29" i="1"/>
  <c r="AC28" i="1"/>
  <c r="AB28" i="1"/>
  <c r="AA28" i="1"/>
  <c r="AC27" i="1"/>
  <c r="AB27" i="1"/>
  <c r="AA27" i="1"/>
  <c r="AC26" i="1"/>
  <c r="AB26" i="1"/>
  <c r="AA26" i="1"/>
  <c r="AC25" i="1"/>
  <c r="AB25" i="1"/>
  <c r="AA25" i="1"/>
  <c r="AC24" i="1"/>
  <c r="AB24" i="1"/>
  <c r="AA24" i="1"/>
  <c r="AC23" i="1"/>
  <c r="AB23" i="1"/>
  <c r="AA23" i="1"/>
  <c r="AC22" i="1"/>
  <c r="AB22" i="1"/>
  <c r="AA22" i="1"/>
  <c r="AC21" i="1"/>
  <c r="AB21" i="1"/>
  <c r="AA21" i="1"/>
  <c r="AC20" i="1"/>
  <c r="AB20" i="1"/>
  <c r="AA20" i="1"/>
  <c r="AC19" i="1"/>
  <c r="AB19" i="1"/>
  <c r="AA19" i="1"/>
  <c r="AC18" i="1"/>
  <c r="AB18" i="1"/>
  <c r="AA18" i="1"/>
  <c r="AC17" i="1"/>
  <c r="AB17" i="1"/>
  <c r="AA17" i="1"/>
  <c r="AC16" i="1"/>
  <c r="AB16" i="1"/>
  <c r="AA16" i="1"/>
  <c r="AC15" i="1"/>
  <c r="AB15" i="1"/>
  <c r="AA15" i="1"/>
  <c r="AC14" i="1"/>
  <c r="AB14" i="1"/>
  <c r="AA14" i="1"/>
  <c r="AC13" i="1"/>
  <c r="AB13" i="1"/>
  <c r="AA13" i="1"/>
  <c r="AC12" i="1"/>
  <c r="AB12" i="1"/>
  <c r="AA12" i="1"/>
  <c r="AC11" i="1"/>
  <c r="AB11" i="1"/>
  <c r="AA11" i="1"/>
  <c r="AC10" i="1"/>
  <c r="AB10" i="1"/>
  <c r="AA10" i="1"/>
  <c r="AC9" i="1"/>
  <c r="AB9" i="1"/>
  <c r="AA9" i="1"/>
  <c r="AC8" i="1"/>
  <c r="AB8" i="1"/>
  <c r="AA8" i="1"/>
  <c r="AC7" i="1"/>
  <c r="AB7" i="1"/>
  <c r="AA7" i="1"/>
  <c r="AC6" i="1"/>
  <c r="AB6" i="1"/>
  <c r="AA6" i="1"/>
  <c r="AC5" i="1"/>
  <c r="AB5" i="1"/>
  <c r="AA5" i="1"/>
  <c r="AC4" i="1"/>
  <c r="AB4" i="1"/>
  <c r="AA4" i="1"/>
  <c r="AC3" i="1"/>
  <c r="AD100" i="1" s="1"/>
  <c r="AB3" i="1"/>
  <c r="AA3" i="1"/>
  <c r="AD2" i="1"/>
  <c r="AA2" i="1"/>
  <c r="F2" i="1"/>
  <c r="AD5" i="1" l="1"/>
  <c r="AD9" i="1"/>
  <c r="AD13" i="1"/>
  <c r="AD17" i="1"/>
  <c r="AD21" i="1"/>
  <c r="AD25" i="1"/>
  <c r="AD29" i="1"/>
  <c r="AD35" i="1"/>
  <c r="AD39" i="1"/>
  <c r="AD43" i="1"/>
  <c r="AD47" i="1"/>
  <c r="AD51" i="1"/>
  <c r="AD55" i="1"/>
  <c r="AD57" i="1"/>
  <c r="AD61" i="1"/>
  <c r="AD65" i="1"/>
  <c r="AD69" i="1"/>
  <c r="AD71" i="1"/>
  <c r="AD75" i="1"/>
  <c r="AD79" i="1"/>
  <c r="AD87" i="1"/>
  <c r="AD99" i="1"/>
  <c r="AD3" i="1"/>
  <c r="AD7" i="1"/>
  <c r="AD11" i="1"/>
  <c r="AD15" i="1"/>
  <c r="AD19" i="1"/>
  <c r="AD23" i="1"/>
  <c r="AD27" i="1"/>
  <c r="AD31" i="1"/>
  <c r="AD33" i="1"/>
  <c r="AD37" i="1"/>
  <c r="AD41" i="1"/>
  <c r="AD45" i="1"/>
  <c r="AD49" i="1"/>
  <c r="AD53" i="1"/>
  <c r="AD59" i="1"/>
  <c r="AD63" i="1"/>
  <c r="AD67" i="1"/>
  <c r="AD73" i="1"/>
  <c r="AD77" i="1"/>
  <c r="AD81" i="1"/>
  <c r="AD83" i="1"/>
  <c r="AD85" i="1"/>
  <c r="AD89" i="1"/>
  <c r="AD91" i="1"/>
  <c r="AD93" i="1"/>
  <c r="AD95" i="1"/>
  <c r="AD97" i="1"/>
  <c r="AD101" i="1"/>
  <c r="B6" i="2"/>
  <c r="AD4" i="1"/>
  <c r="AD6" i="1"/>
  <c r="AD8" i="1"/>
  <c r="AD10" i="1"/>
  <c r="AD12" i="1"/>
  <c r="AD14" i="1"/>
  <c r="AD16" i="1"/>
  <c r="AD18" i="1"/>
  <c r="AD20" i="1"/>
  <c r="AD22" i="1"/>
  <c r="AD24" i="1"/>
  <c r="AD26" i="1"/>
  <c r="AD28" i="1"/>
  <c r="AD30" i="1"/>
  <c r="AD32" i="1"/>
  <c r="AD34" i="1"/>
  <c r="AD36" i="1"/>
  <c r="AD38" i="1"/>
  <c r="AD40" i="1"/>
  <c r="AD42" i="1"/>
  <c r="AD44" i="1"/>
  <c r="AD46" i="1"/>
  <c r="AD48" i="1"/>
  <c r="AD50" i="1"/>
  <c r="AD52" i="1"/>
  <c r="AD54" i="1"/>
  <c r="AD56" i="1"/>
  <c r="AD58" i="1"/>
  <c r="AD60" i="1"/>
  <c r="AD62" i="1"/>
  <c r="AD64" i="1"/>
  <c r="AD66" i="1"/>
  <c r="AD68" i="1"/>
  <c r="AD70" i="1"/>
  <c r="AD72" i="1"/>
  <c r="AD74" i="1"/>
  <c r="AD76" i="1"/>
  <c r="AD78" i="1"/>
  <c r="AD80" i="1"/>
  <c r="AD82" i="1"/>
  <c r="AD84" i="1"/>
  <c r="AD86" i="1"/>
  <c r="AD88" i="1"/>
  <c r="AD90" i="1"/>
  <c r="AD92" i="1"/>
  <c r="AD94" i="1"/>
  <c r="AD96" i="1"/>
  <c r="AD98" i="1"/>
  <c r="A16" i="2" l="1"/>
  <c r="A13" i="2"/>
  <c r="A15" i="2"/>
  <c r="A17" i="2"/>
  <c r="A14" i="2"/>
  <c r="C14" i="2" l="1"/>
  <c r="B14" i="2"/>
  <c r="C17" i="2"/>
  <c r="B17" i="2"/>
  <c r="C15" i="2"/>
  <c r="B15" i="2"/>
  <c r="B13" i="2"/>
  <c r="C13" i="2"/>
  <c r="C16" i="2"/>
  <c r="B16" i="2"/>
  <c r="C20" i="2" l="1"/>
  <c r="C21" i="2" s="1"/>
  <c r="C19" i="2"/>
</calcChain>
</file>

<file path=xl/sharedStrings.xml><?xml version="1.0" encoding="utf-8"?>
<sst xmlns="http://schemas.openxmlformats.org/spreadsheetml/2006/main" count="551" uniqueCount="57">
  <si>
    <t>Stair.thisTrialN</t>
  </si>
  <si>
    <t>Stair.stepSize</t>
  </si>
  <si>
    <t>Stair.intensity</t>
  </si>
  <si>
    <t>thisRow.t</t>
  </si>
  <si>
    <t>notes</t>
  </si>
  <si>
    <t>piloting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</si>
  <si>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</si>
  <si>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</si>
  <si>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</si>
  <si>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</si>
  <si>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</si>
  <si>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</si>
  <si>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</si>
  <si>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</si>
  <si>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</si>
  <si>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</si>
  <si>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</si>
  <si>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</si>
  <si>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</si>
  <si>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</si>
  <si>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</si>
  <si>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</si>
  <si>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</si>
  <si>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</si>
  <si>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</si>
  <si>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</si>
  <si>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Trial # (1-based)</t>
  </si>
  <si>
    <t>Previous response</t>
  </si>
  <si>
    <t>1→0 reversal? (1=yes)</t>
  </si>
  <si>
    <t>Cumulative reversal count</t>
  </si>
  <si>
    <t>right</t>
  </si>
  <si>
    <t>2026-09-28_21h43.55.313</t>
  </si>
  <si>
    <t>Palak_Jain_AdaptiveStaircase</t>
  </si>
  <si>
    <t>2026.2.3</t>
  </si>
  <si>
    <t>2026-09-28 21h43.55.389405 +0530</t>
  </si>
  <si>
    <t>left</t>
  </si>
  <si>
    <t>Adaptive Staircase – Difference Threshold (JND) Analysis</t>
  </si>
  <si>
    <t>Participant: Palak Jain | Orientation discrimination (left vs right tilt) | Session date: 2026-09-28</t>
  </si>
  <si>
    <t>Summary</t>
  </si>
  <si>
    <t>Total trials</t>
  </si>
  <si>
    <t>Total 1→0 reversals</t>
  </si>
  <si>
    <t>Reversals used (last N)</t>
  </si>
  <si>
    <t>Overall accuracy</t>
  </si>
  <si>
    <t>Final step size (deg)</t>
  </si>
  <si>
    <t>Last five 1→0 reversals</t>
  </si>
  <si>
    <t>Reversal #</t>
  </si>
  <si>
    <t>Trial #</t>
  </si>
  <si>
    <t>Intensity (deg tilt)</t>
  </si>
  <si>
    <t>Difference threshold (mean of last 5 reversals, deg)</t>
  </si>
  <si>
    <t>Standard deviation</t>
  </si>
  <si>
    <t>Standard error</t>
  </si>
  <si>
    <t>Method notes</t>
  </si>
  <si>
    <t>Reversal (1→0): a trial answered incorrectly (Stair.response = 0) immediately after a correct one (1); intensity is that trial's tilt magnitude.</t>
  </si>
  <si>
    <t>Trial # is 1-based (PsychoPy Stair.thisTrialN + 1). Intensity = absolute tilt angle in degrees.</t>
  </si>
  <si>
    <t>Helper columns (orange headers) on the Data sheet flag each reversal; this sheet pulls them with INDEX/MATCH.</t>
  </si>
  <si>
    <t>Raw data (100 trials) copied unchanged from the PsychoPy CSV.</t>
  </si>
  <si>
    <t>Graphs (native Excel charts – right-click a chart &gt; Save as Picture to export)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</si>
</sst>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b/>
      <sz val="12"/>
      <name val="Arial"/>
      <charset val="1"/>
    </font>
    <font>
      <sz val="9"/>
      <name val="Arial"/>
      <charset val="1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55A11"/>
        <bgColor rgb="FF993300"/>
      </patternFill>
    </fill>
    <fill>
      <patternFill patternType="solid">
        <fgColor theme="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2" fillId="0" borderId="0" xfId="0" applyNumberFormat="1" applyFo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0" fontId="7" fillId="0" borderId="0" xfId="0" applyFont="1"/>
    <xf numFmtId="2" fontId="6" fillId="4" borderId="0" xfId="0" applyNumberFormat="1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Figure 2. Tilt of Grating across Trials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Tilt</c:v>
          </c:tx>
          <c:spPr>
            <a:ln w="1512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Data!$AA$2:$AA$101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Data!$O$2:$O$101</c:f>
              <c:numCache>
                <c:formatCode>General</c:formatCode>
                <c:ptCount val="100"/>
                <c:pt idx="0">
                  <c:v>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-2</c:v>
                </c:pt>
                <c:pt idx="9">
                  <c:v>-1</c:v>
                </c:pt>
                <c:pt idx="10">
                  <c:v>-1</c:v>
                </c:pt>
                <c:pt idx="11">
                  <c:v>1.5</c:v>
                </c:pt>
                <c:pt idx="12">
                  <c:v>-1.5</c:v>
                </c:pt>
                <c:pt idx="13">
                  <c:v>1.5</c:v>
                </c:pt>
                <c:pt idx="14">
                  <c:v>1</c:v>
                </c:pt>
                <c:pt idx="15">
                  <c:v>-1</c:v>
                </c:pt>
                <c:pt idx="16">
                  <c:v>-1</c:v>
                </c:pt>
                <c:pt idx="17">
                  <c:v>1</c:v>
                </c:pt>
                <c:pt idx="18">
                  <c:v>1.5</c:v>
                </c:pt>
                <c:pt idx="19">
                  <c:v>-2</c:v>
                </c:pt>
                <c:pt idx="20">
                  <c:v>2</c:v>
                </c:pt>
                <c:pt idx="21">
                  <c:v>-2</c:v>
                </c:pt>
                <c:pt idx="22">
                  <c:v>-1.5</c:v>
                </c:pt>
                <c:pt idx="23">
                  <c:v>-1.5</c:v>
                </c:pt>
                <c:pt idx="24">
                  <c:v>-1.5</c:v>
                </c:pt>
                <c:pt idx="25">
                  <c:v>-1</c:v>
                </c:pt>
                <c:pt idx="26">
                  <c:v>-1</c:v>
                </c:pt>
                <c:pt idx="27">
                  <c:v>1</c:v>
                </c:pt>
                <c:pt idx="28">
                  <c:v>1.5</c:v>
                </c:pt>
                <c:pt idx="29">
                  <c:v>1.5</c:v>
                </c:pt>
                <c:pt idx="30">
                  <c:v>-1.5</c:v>
                </c:pt>
                <c:pt idx="31">
                  <c:v>1</c:v>
                </c:pt>
                <c:pt idx="32">
                  <c:v>1.5</c:v>
                </c:pt>
                <c:pt idx="33">
                  <c:v>-1.5</c:v>
                </c:pt>
                <c:pt idx="34">
                  <c:v>1.5</c:v>
                </c:pt>
                <c:pt idx="35">
                  <c:v>-1</c:v>
                </c:pt>
                <c:pt idx="36">
                  <c:v>1</c:v>
                </c:pt>
                <c:pt idx="37">
                  <c:v>-1.5</c:v>
                </c:pt>
                <c:pt idx="38">
                  <c:v>1.5</c:v>
                </c:pt>
                <c:pt idx="39">
                  <c:v>2</c:v>
                </c:pt>
                <c:pt idx="40">
                  <c:v>2.5</c:v>
                </c:pt>
                <c:pt idx="41">
                  <c:v>-2.5</c:v>
                </c:pt>
                <c:pt idx="42">
                  <c:v>2.5</c:v>
                </c:pt>
                <c:pt idx="43">
                  <c:v>2</c:v>
                </c:pt>
                <c:pt idx="44">
                  <c:v>-2.5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-2.5</c:v>
                </c:pt>
                <c:pt idx="49">
                  <c:v>2.5</c:v>
                </c:pt>
                <c:pt idx="50">
                  <c:v>-2.5</c:v>
                </c:pt>
                <c:pt idx="51">
                  <c:v>-2</c:v>
                </c:pt>
                <c:pt idx="52">
                  <c:v>2</c:v>
                </c:pt>
                <c:pt idx="53">
                  <c:v>-2</c:v>
                </c:pt>
                <c:pt idx="54">
                  <c:v>1.5</c:v>
                </c:pt>
                <c:pt idx="55">
                  <c:v>1.5</c:v>
                </c:pt>
                <c:pt idx="56">
                  <c:v>2</c:v>
                </c:pt>
                <c:pt idx="57">
                  <c:v>-2</c:v>
                </c:pt>
                <c:pt idx="58">
                  <c:v>-2</c:v>
                </c:pt>
                <c:pt idx="59">
                  <c:v>1.5</c:v>
                </c:pt>
                <c:pt idx="60">
                  <c:v>1.5</c:v>
                </c:pt>
                <c:pt idx="61">
                  <c:v>2</c:v>
                </c:pt>
                <c:pt idx="62">
                  <c:v>-2.5</c:v>
                </c:pt>
                <c:pt idx="63">
                  <c:v>-2.5</c:v>
                </c:pt>
                <c:pt idx="64">
                  <c:v>-2.5</c:v>
                </c:pt>
                <c:pt idx="65">
                  <c:v>-2</c:v>
                </c:pt>
                <c:pt idx="66">
                  <c:v>-2</c:v>
                </c:pt>
                <c:pt idx="67">
                  <c:v>2</c:v>
                </c:pt>
                <c:pt idx="68">
                  <c:v>-2.5</c:v>
                </c:pt>
                <c:pt idx="69">
                  <c:v>-2.5</c:v>
                </c:pt>
                <c:pt idx="70">
                  <c:v>-2.5</c:v>
                </c:pt>
                <c:pt idx="71">
                  <c:v>2</c:v>
                </c:pt>
                <c:pt idx="72">
                  <c:v>-2.5</c:v>
                </c:pt>
                <c:pt idx="73">
                  <c:v>2.5</c:v>
                </c:pt>
                <c:pt idx="74">
                  <c:v>-2.5</c:v>
                </c:pt>
                <c:pt idx="75">
                  <c:v>-2</c:v>
                </c:pt>
                <c:pt idx="76">
                  <c:v>2</c:v>
                </c:pt>
                <c:pt idx="77">
                  <c:v>2.5</c:v>
                </c:pt>
                <c:pt idx="78">
                  <c:v>-2.5</c:v>
                </c:pt>
                <c:pt idx="79">
                  <c:v>2.5</c:v>
                </c:pt>
                <c:pt idx="80">
                  <c:v>2</c:v>
                </c:pt>
                <c:pt idx="81">
                  <c:v>-2.5</c:v>
                </c:pt>
                <c:pt idx="82">
                  <c:v>3</c:v>
                </c:pt>
                <c:pt idx="83">
                  <c:v>-3.5</c:v>
                </c:pt>
                <c:pt idx="84">
                  <c:v>-3.5</c:v>
                </c:pt>
                <c:pt idx="85">
                  <c:v>3.5</c:v>
                </c:pt>
                <c:pt idx="86">
                  <c:v>4</c:v>
                </c:pt>
                <c:pt idx="87">
                  <c:v>-4.5</c:v>
                </c:pt>
                <c:pt idx="88">
                  <c:v>-4.5</c:v>
                </c:pt>
                <c:pt idx="89">
                  <c:v>4.5</c:v>
                </c:pt>
                <c:pt idx="90">
                  <c:v>5</c:v>
                </c:pt>
                <c:pt idx="91">
                  <c:v>5.5</c:v>
                </c:pt>
                <c:pt idx="92">
                  <c:v>-5.5</c:v>
                </c:pt>
                <c:pt idx="93">
                  <c:v>-5.5</c:v>
                </c:pt>
                <c:pt idx="94">
                  <c:v>-5</c:v>
                </c:pt>
                <c:pt idx="95">
                  <c:v>5</c:v>
                </c:pt>
                <c:pt idx="96">
                  <c:v>5</c:v>
                </c:pt>
                <c:pt idx="97">
                  <c:v>-4.5</c:v>
                </c:pt>
                <c:pt idx="98">
                  <c:v>-4.5</c:v>
                </c:pt>
                <c:pt idx="99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C7-4013-8B31-C4AAF613E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01186"/>
        <c:axId val="23190296"/>
      </c:scatterChart>
      <c:valAx>
        <c:axId val="98201186"/>
        <c:scaling>
          <c:orientation val="minMax"/>
          <c:max val="101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Trial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190296"/>
        <c:crosses val="autoZero"/>
        <c:crossBetween val="midCat"/>
      </c:valAx>
      <c:valAx>
        <c:axId val="231902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Tilt (deg)  [– = left tilt, + = right tilt]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201186"/>
        <c:crosses val="min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Figure 3. Response Accuracy over Trials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Accuracy</c:v>
          </c:tx>
          <c:spPr>
            <a:ln w="28440">
              <a:noFill/>
            </a:ln>
          </c:spPr>
          <c:marker>
            <c:symbol val="circle"/>
            <c:size val="7"/>
            <c:spPr>
              <a:solidFill>
                <a:srgbClr val="1F4E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Data!$AA$2:$AA$101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Data!$P$2:$P$101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C8-47E1-90B2-B10EDF9EB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44211"/>
        <c:axId val="54231294"/>
      </c:scatterChart>
      <c:valAx>
        <c:axId val="68544211"/>
        <c:scaling>
          <c:orientation val="minMax"/>
          <c:max val="101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Trial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231294"/>
        <c:crosses val="autoZero"/>
        <c:crossBetween val="midCat"/>
      </c:valAx>
      <c:valAx>
        <c:axId val="54231294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Response accuracy  [Correct = 1, Incorrect = 0]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544211"/>
        <c:crosses val="autoZero"/>
        <c:crossBetween val="midCat"/>
        <c:majorUnit val="1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Figure 4. Staircase Intensity with Last Five 1→0 Reversals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Intensity</c:v>
          </c:tx>
          <c:spPr>
            <a:ln w="1512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Data!$AA$2:$AA$101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Data!$C$2:$C$101</c:f>
              <c:numCache>
                <c:formatCode>General</c:formatCode>
                <c:ptCount val="100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1.5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</c:v>
                </c:pt>
                <c:pt idx="36">
                  <c:v>1</c:v>
                </c:pt>
                <c:pt idx="37">
                  <c:v>1.5</c:v>
                </c:pt>
                <c:pt idx="38">
                  <c:v>1.5</c:v>
                </c:pt>
                <c:pt idx="39">
                  <c:v>2</c:v>
                </c:pt>
                <c:pt idx="40">
                  <c:v>2.5</c:v>
                </c:pt>
                <c:pt idx="41">
                  <c:v>2.5</c:v>
                </c:pt>
                <c:pt idx="42">
                  <c:v>2.5</c:v>
                </c:pt>
                <c:pt idx="43">
                  <c:v>2</c:v>
                </c:pt>
                <c:pt idx="44">
                  <c:v>2.5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2.5</c:v>
                </c:pt>
                <c:pt idx="49">
                  <c:v>2.5</c:v>
                </c:pt>
                <c:pt idx="50">
                  <c:v>2.5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1.5</c:v>
                </c:pt>
                <c:pt idx="55">
                  <c:v>1.5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1.5</c:v>
                </c:pt>
                <c:pt idx="60">
                  <c:v>1.5</c:v>
                </c:pt>
                <c:pt idx="61">
                  <c:v>2</c:v>
                </c:pt>
                <c:pt idx="62">
                  <c:v>2.5</c:v>
                </c:pt>
                <c:pt idx="63">
                  <c:v>2.5</c:v>
                </c:pt>
                <c:pt idx="64">
                  <c:v>2.5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2.5</c:v>
                </c:pt>
                <c:pt idx="69">
                  <c:v>2.5</c:v>
                </c:pt>
                <c:pt idx="70">
                  <c:v>2.5</c:v>
                </c:pt>
                <c:pt idx="71">
                  <c:v>2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</c:v>
                </c:pt>
                <c:pt idx="76">
                  <c:v>2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0">
                  <c:v>2</c:v>
                </c:pt>
                <c:pt idx="81">
                  <c:v>2.5</c:v>
                </c:pt>
                <c:pt idx="82">
                  <c:v>3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4</c:v>
                </c:pt>
                <c:pt idx="87">
                  <c:v>4.5</c:v>
                </c:pt>
                <c:pt idx="88">
                  <c:v>4.5</c:v>
                </c:pt>
                <c:pt idx="89">
                  <c:v>4.5</c:v>
                </c:pt>
                <c:pt idx="90">
                  <c:v>5</c:v>
                </c:pt>
                <c:pt idx="91">
                  <c:v>5.5</c:v>
                </c:pt>
                <c:pt idx="92">
                  <c:v>5.5</c:v>
                </c:pt>
                <c:pt idx="93">
                  <c:v>5.5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4.5</c:v>
                </c:pt>
                <c:pt idx="98">
                  <c:v>4.5</c:v>
                </c:pt>
                <c:pt idx="99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BE-49D7-97AA-648CB333A2BD}"/>
            </c:ext>
          </c:extLst>
        </c:ser>
        <c:ser>
          <c:idx val="1"/>
          <c:order val="1"/>
          <c:tx>
            <c:v>Last 5 reversals (1→0)</c:v>
          </c:tx>
          <c:spPr>
            <a:ln w="28440">
              <a:noFill/>
            </a:ln>
          </c:spPr>
          <c:marker>
            <c:symbol val="diamond"/>
            <c:size val="11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Analysis!$B$13:$B$17</c:f>
              <c:numCache>
                <c:formatCode>General</c:formatCode>
                <c:ptCount val="5"/>
                <c:pt idx="0">
                  <c:v>72</c:v>
                </c:pt>
                <c:pt idx="1">
                  <c:v>77</c:v>
                </c:pt>
                <c:pt idx="2">
                  <c:v>81</c:v>
                </c:pt>
                <c:pt idx="3">
                  <c:v>86</c:v>
                </c:pt>
                <c:pt idx="4">
                  <c:v>90</c:v>
                </c:pt>
              </c:numCache>
            </c:numRef>
          </c:xVal>
          <c:yVal>
            <c:numRef>
              <c:f>Analysis!$C$13:$C$17</c:f>
              <c:numCache>
                <c:formatCode>0.00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BE-49D7-97AA-648CB333A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7717"/>
        <c:axId val="7083707"/>
      </c:scatterChart>
      <c:valAx>
        <c:axId val="42907717"/>
        <c:scaling>
          <c:orientation val="minMax"/>
          <c:max val="101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Trial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83707"/>
        <c:crosses val="autoZero"/>
        <c:crossBetween val="midCat"/>
      </c:valAx>
      <c:valAx>
        <c:axId val="708370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Stimulus intensity (deg)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90771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160560</xdr:rowOff>
    </xdr:from>
    <xdr:to>
      <xdr:col>11</xdr:col>
      <xdr:colOff>473040</xdr:colOff>
      <xdr:row>18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160920</xdr:rowOff>
    </xdr:from>
    <xdr:to>
      <xdr:col>11</xdr:col>
      <xdr:colOff>473040</xdr:colOff>
      <xdr:row>37</xdr:row>
      <xdr:rowOff>162000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160920</xdr:rowOff>
    </xdr:from>
    <xdr:to>
      <xdr:col>11</xdr:col>
      <xdr:colOff>473040</xdr:colOff>
      <xdr:row>56</xdr:row>
      <xdr:rowOff>162000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0" width="14" customWidth="1"/>
  </cols>
  <sheetData>
    <row r="1" spans="1:30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">
      <c r="A2" s="3">
        <v>0</v>
      </c>
      <c r="B2" s="3">
        <v>2</v>
      </c>
      <c r="C2" s="3">
        <v>10</v>
      </c>
      <c r="D2" s="3">
        <v>3.02669000811874E-2</v>
      </c>
      <c r="E2" s="3"/>
      <c r="F2" s="4" t="b">
        <f>FALSE()</f>
        <v>0</v>
      </c>
      <c r="G2" s="3">
        <v>1.44484000047668E-2</v>
      </c>
      <c r="H2" s="3">
        <v>3.02669000811874E-2</v>
      </c>
      <c r="I2" s="3">
        <v>0.53537439997308001</v>
      </c>
      <c r="J2" s="3">
        <v>0.53537439997308001</v>
      </c>
      <c r="K2" s="3">
        <v>0.54815470008179601</v>
      </c>
      <c r="L2" s="3">
        <v>0.84804249997250702</v>
      </c>
      <c r="M2" s="3">
        <v>5.2837354000657797</v>
      </c>
      <c r="N2" s="3" t="s">
        <v>30</v>
      </c>
      <c r="O2" s="3">
        <v>10</v>
      </c>
      <c r="P2" s="3">
        <v>1</v>
      </c>
      <c r="Q2" s="3">
        <v>1</v>
      </c>
      <c r="R2" s="3">
        <v>4.5821049000369403</v>
      </c>
      <c r="S2" s="3">
        <v>833159</v>
      </c>
      <c r="T2" s="3">
        <v>1</v>
      </c>
      <c r="U2" s="3" t="s">
        <v>31</v>
      </c>
      <c r="V2" s="3" t="s">
        <v>32</v>
      </c>
      <c r="W2" s="3"/>
      <c r="X2" s="3" t="s">
        <v>33</v>
      </c>
      <c r="Y2" s="3">
        <v>59.044180997170301</v>
      </c>
      <c r="Z2" s="3" t="s">
        <v>34</v>
      </c>
      <c r="AA2" s="3">
        <f t="shared" ref="AA2:AA33" si="0">A2+1</f>
        <v>1</v>
      </c>
      <c r="AB2" s="3"/>
      <c r="AC2" s="3">
        <v>0</v>
      </c>
      <c r="AD2" s="3">
        <f>SUM(AC$2:AC2)</f>
        <v>0</v>
      </c>
    </row>
    <row r="3" spans="1:30" x14ac:dyDescent="0.3">
      <c r="A3" s="3">
        <v>1</v>
      </c>
      <c r="B3" s="3">
        <v>2</v>
      </c>
      <c r="C3" s="3">
        <v>8</v>
      </c>
      <c r="D3" s="3">
        <v>5.2959685000823802</v>
      </c>
      <c r="E3" s="3"/>
      <c r="F3" s="3"/>
      <c r="G3" s="3">
        <v>5.2838903000811097</v>
      </c>
      <c r="H3" s="3">
        <v>5.2959685000823802</v>
      </c>
      <c r="I3" s="3">
        <v>5.7988014000002304</v>
      </c>
      <c r="J3" s="3">
        <v>5.7988014000002304</v>
      </c>
      <c r="K3" s="3">
        <v>5.7988014000002304</v>
      </c>
      <c r="L3" s="3">
        <v>6.0981286000460404</v>
      </c>
      <c r="M3" s="3">
        <v>7.0996131000574696</v>
      </c>
      <c r="N3" s="3" t="s">
        <v>35</v>
      </c>
      <c r="O3" s="3">
        <v>-8</v>
      </c>
      <c r="P3" s="3">
        <v>1</v>
      </c>
      <c r="Q3" s="3">
        <v>1</v>
      </c>
      <c r="R3" s="3">
        <v>1.28509640006814</v>
      </c>
      <c r="S3" s="3">
        <v>833159</v>
      </c>
      <c r="T3" s="3">
        <v>1</v>
      </c>
      <c r="U3" s="3" t="s">
        <v>31</v>
      </c>
      <c r="V3" s="3" t="s">
        <v>32</v>
      </c>
      <c r="W3" s="3"/>
      <c r="X3" s="3" t="s">
        <v>33</v>
      </c>
      <c r="Y3" s="3">
        <v>59.044180997170301</v>
      </c>
      <c r="Z3" s="3" t="s">
        <v>34</v>
      </c>
      <c r="AA3" s="3">
        <f t="shared" si="0"/>
        <v>2</v>
      </c>
      <c r="AB3" s="3">
        <f t="shared" ref="AB3:AB34" si="1">Q2</f>
        <v>1</v>
      </c>
      <c r="AC3" s="3">
        <f t="shared" ref="AC3:AC34" si="2">IF(AND(AB3=1,Q3=0),1,0)</f>
        <v>0</v>
      </c>
      <c r="AD3" s="3">
        <f>SUM(AC$2:AC3)</f>
        <v>0</v>
      </c>
    </row>
    <row r="4" spans="1:30" x14ac:dyDescent="0.3">
      <c r="A4" s="3">
        <v>2</v>
      </c>
      <c r="B4" s="3">
        <v>2</v>
      </c>
      <c r="C4" s="3">
        <v>6</v>
      </c>
      <c r="D4" s="3">
        <v>7.1139464000007102</v>
      </c>
      <c r="E4" s="3"/>
      <c r="F4" s="3"/>
      <c r="G4" s="3">
        <v>7.1000691000372198</v>
      </c>
      <c r="H4" s="3">
        <v>7.1139464000007102</v>
      </c>
      <c r="I4" s="3">
        <v>7.6158622000366503</v>
      </c>
      <c r="J4" s="3">
        <v>7.6158622000366503</v>
      </c>
      <c r="K4" s="3">
        <v>7.6158622000366503</v>
      </c>
      <c r="L4" s="3">
        <v>7.9139531999826396</v>
      </c>
      <c r="M4" s="3">
        <v>8.4662211000686494</v>
      </c>
      <c r="N4" s="3" t="s">
        <v>35</v>
      </c>
      <c r="O4" s="3">
        <v>-6</v>
      </c>
      <c r="P4" s="3">
        <v>1</v>
      </c>
      <c r="Q4" s="3">
        <v>1</v>
      </c>
      <c r="R4" s="3">
        <v>0.84905249997973398</v>
      </c>
      <c r="S4" s="3">
        <v>833159</v>
      </c>
      <c r="T4" s="3">
        <v>1</v>
      </c>
      <c r="U4" s="3" t="s">
        <v>31</v>
      </c>
      <c r="V4" s="3" t="s">
        <v>32</v>
      </c>
      <c r="W4" s="3"/>
      <c r="X4" s="3" t="s">
        <v>33</v>
      </c>
      <c r="Y4" s="3">
        <v>59.044180997170301</v>
      </c>
      <c r="Z4" s="3" t="s">
        <v>34</v>
      </c>
      <c r="AA4" s="3">
        <f t="shared" si="0"/>
        <v>3</v>
      </c>
      <c r="AB4" s="3">
        <f t="shared" si="1"/>
        <v>1</v>
      </c>
      <c r="AC4" s="3">
        <f t="shared" si="2"/>
        <v>0</v>
      </c>
      <c r="AD4" s="3">
        <f>SUM(AC$2:AC4)</f>
        <v>0</v>
      </c>
    </row>
    <row r="5" spans="1:30" x14ac:dyDescent="0.3">
      <c r="A5" s="3">
        <v>3</v>
      </c>
      <c r="B5" s="3">
        <v>2</v>
      </c>
      <c r="C5" s="3">
        <v>4</v>
      </c>
      <c r="D5" s="3">
        <v>8.48151760001201</v>
      </c>
      <c r="E5" s="3"/>
      <c r="F5" s="3"/>
      <c r="G5" s="3">
        <v>8.4666809000773409</v>
      </c>
      <c r="H5" s="3">
        <v>8.48151760001201</v>
      </c>
      <c r="I5" s="3">
        <v>8.98043550003786</v>
      </c>
      <c r="J5" s="3">
        <v>8.98043550003786</v>
      </c>
      <c r="K5" s="3">
        <v>8.9986088000005093</v>
      </c>
      <c r="L5" s="3">
        <v>9.2824748000130093</v>
      </c>
      <c r="M5" s="3">
        <v>9.7338297000387701</v>
      </c>
      <c r="N5" s="3" t="s">
        <v>35</v>
      </c>
      <c r="O5" s="3">
        <v>-4</v>
      </c>
      <c r="P5" s="3">
        <v>1</v>
      </c>
      <c r="Q5" s="3">
        <v>1</v>
      </c>
      <c r="R5" s="3">
        <v>0.74986290000379097</v>
      </c>
      <c r="S5" s="3">
        <v>833159</v>
      </c>
      <c r="T5" s="3">
        <v>1</v>
      </c>
      <c r="U5" s="3" t="s">
        <v>31</v>
      </c>
      <c r="V5" s="3" t="s">
        <v>32</v>
      </c>
      <c r="W5" s="3"/>
      <c r="X5" s="3" t="s">
        <v>33</v>
      </c>
      <c r="Y5" s="3">
        <v>59.044180997170301</v>
      </c>
      <c r="Z5" s="3" t="s">
        <v>34</v>
      </c>
      <c r="AA5" s="3">
        <f t="shared" si="0"/>
        <v>4</v>
      </c>
      <c r="AB5" s="3">
        <f t="shared" si="1"/>
        <v>1</v>
      </c>
      <c r="AC5" s="3">
        <f t="shared" si="2"/>
        <v>0</v>
      </c>
      <c r="AD5" s="3">
        <f>SUM(AC$2:AC5)</f>
        <v>0</v>
      </c>
    </row>
    <row r="6" spans="1:30" x14ac:dyDescent="0.3">
      <c r="A6" s="3">
        <v>4</v>
      </c>
      <c r="B6" s="3">
        <v>2</v>
      </c>
      <c r="C6" s="3">
        <v>2</v>
      </c>
      <c r="D6" s="3">
        <v>9.7490034999791497</v>
      </c>
      <c r="E6" s="3"/>
      <c r="F6" s="3"/>
      <c r="G6" s="3">
        <v>9.7343190000392497</v>
      </c>
      <c r="H6" s="3">
        <v>9.7490034999791497</v>
      </c>
      <c r="I6" s="3">
        <v>10.2477500999812</v>
      </c>
      <c r="J6" s="3">
        <v>10.2477500999812</v>
      </c>
      <c r="K6" s="3">
        <v>10.2477500999812</v>
      </c>
      <c r="L6" s="3">
        <v>10.5488407000667</v>
      </c>
      <c r="M6" s="3">
        <v>10.882289799978</v>
      </c>
      <c r="N6" s="3" t="s">
        <v>35</v>
      </c>
      <c r="O6" s="3">
        <v>-2</v>
      </c>
      <c r="P6" s="3">
        <v>1</v>
      </c>
      <c r="Q6" s="3">
        <v>1</v>
      </c>
      <c r="R6" s="3">
        <v>0.63195640000049003</v>
      </c>
      <c r="S6" s="3">
        <v>833159</v>
      </c>
      <c r="T6" s="3">
        <v>1</v>
      </c>
      <c r="U6" s="3" t="s">
        <v>31</v>
      </c>
      <c r="V6" s="3" t="s">
        <v>32</v>
      </c>
      <c r="W6" s="3"/>
      <c r="X6" s="3" t="s">
        <v>33</v>
      </c>
      <c r="Y6" s="3">
        <v>59.044180997170301</v>
      </c>
      <c r="Z6" s="3" t="s">
        <v>34</v>
      </c>
      <c r="AA6" s="3">
        <f t="shared" si="0"/>
        <v>5</v>
      </c>
      <c r="AB6" s="3">
        <f t="shared" si="1"/>
        <v>1</v>
      </c>
      <c r="AC6" s="3">
        <f t="shared" si="2"/>
        <v>0</v>
      </c>
      <c r="AD6" s="3">
        <f>SUM(AC$2:AC6)</f>
        <v>0</v>
      </c>
    </row>
    <row r="7" spans="1:30" x14ac:dyDescent="0.3">
      <c r="A7" s="3">
        <v>5</v>
      </c>
      <c r="B7" s="3">
        <v>1</v>
      </c>
      <c r="C7" s="3">
        <v>1</v>
      </c>
      <c r="D7" s="3">
        <v>10.8973292000592</v>
      </c>
      <c r="E7" s="3"/>
      <c r="F7" s="3"/>
      <c r="G7" s="3">
        <v>10.8825847000117</v>
      </c>
      <c r="H7" s="3">
        <v>10.8973292000592</v>
      </c>
      <c r="I7" s="3">
        <v>11.396782799973201</v>
      </c>
      <c r="J7" s="3">
        <v>11.396782799973201</v>
      </c>
      <c r="K7" s="3">
        <v>11.396782799973201</v>
      </c>
      <c r="L7" s="3">
        <v>11.6979936000425</v>
      </c>
      <c r="M7" s="3">
        <v>12.2813833000837</v>
      </c>
      <c r="N7" s="3" t="s">
        <v>30</v>
      </c>
      <c r="O7" s="3">
        <v>1</v>
      </c>
      <c r="P7" s="3">
        <v>0</v>
      </c>
      <c r="Q7" s="3">
        <v>0</v>
      </c>
      <c r="R7" s="3">
        <v>0.87124500004574701</v>
      </c>
      <c r="S7" s="3">
        <v>833159</v>
      </c>
      <c r="T7" s="3">
        <v>1</v>
      </c>
      <c r="U7" s="3" t="s">
        <v>31</v>
      </c>
      <c r="V7" s="3" t="s">
        <v>32</v>
      </c>
      <c r="W7" s="3"/>
      <c r="X7" s="3" t="s">
        <v>33</v>
      </c>
      <c r="Y7" s="3">
        <v>59.044180997170301</v>
      </c>
      <c r="Z7" s="3" t="s">
        <v>34</v>
      </c>
      <c r="AA7" s="3">
        <f t="shared" si="0"/>
        <v>6</v>
      </c>
      <c r="AB7" s="3">
        <f t="shared" si="1"/>
        <v>1</v>
      </c>
      <c r="AC7" s="3">
        <f t="shared" si="2"/>
        <v>1</v>
      </c>
      <c r="AD7" s="3">
        <f>SUM(AC$2:AC7)</f>
        <v>1</v>
      </c>
    </row>
    <row r="8" spans="1:30" x14ac:dyDescent="0.3">
      <c r="A8" s="3">
        <v>6</v>
      </c>
      <c r="B8" s="3">
        <v>1</v>
      </c>
      <c r="C8" s="3">
        <v>2</v>
      </c>
      <c r="D8" s="3">
        <v>12.297207399969899</v>
      </c>
      <c r="E8" s="3"/>
      <c r="F8" s="3"/>
      <c r="G8" s="3">
        <v>12.2816337000113</v>
      </c>
      <c r="H8" s="3">
        <v>12.297207399969899</v>
      </c>
      <c r="I8" s="3">
        <v>12.7802650000667</v>
      </c>
      <c r="J8" s="3">
        <v>12.7802650000667</v>
      </c>
      <c r="K8" s="3">
        <v>12.796848800033301</v>
      </c>
      <c r="L8" s="3">
        <v>13.0820022000698</v>
      </c>
      <c r="M8" s="3">
        <v>13.4646968999878</v>
      </c>
      <c r="N8" s="3" t="s">
        <v>30</v>
      </c>
      <c r="O8" s="3">
        <v>2</v>
      </c>
      <c r="P8" s="3">
        <v>1</v>
      </c>
      <c r="Q8" s="3">
        <v>1</v>
      </c>
      <c r="R8" s="3">
        <v>0.67754300008527901</v>
      </c>
      <c r="S8" s="3">
        <v>833159</v>
      </c>
      <c r="T8" s="3">
        <v>1</v>
      </c>
      <c r="U8" s="3" t="s">
        <v>31</v>
      </c>
      <c r="V8" s="3" t="s">
        <v>32</v>
      </c>
      <c r="W8" s="3"/>
      <c r="X8" s="3" t="s">
        <v>33</v>
      </c>
      <c r="Y8" s="3">
        <v>59.044180997170301</v>
      </c>
      <c r="Z8" s="3" t="s">
        <v>34</v>
      </c>
      <c r="AA8" s="3">
        <f t="shared" si="0"/>
        <v>7</v>
      </c>
      <c r="AB8" s="3">
        <f t="shared" si="1"/>
        <v>0</v>
      </c>
      <c r="AC8" s="3">
        <f t="shared" si="2"/>
        <v>0</v>
      </c>
      <c r="AD8" s="3">
        <f>SUM(AC$2:AC8)</f>
        <v>1</v>
      </c>
    </row>
    <row r="9" spans="1:30" x14ac:dyDescent="0.3">
      <c r="A9" s="3">
        <v>7</v>
      </c>
      <c r="B9" s="3">
        <v>1</v>
      </c>
      <c r="C9" s="3">
        <v>2</v>
      </c>
      <c r="D9" s="3">
        <v>13.481654900009699</v>
      </c>
      <c r="E9" s="3"/>
      <c r="F9" s="3"/>
      <c r="G9" s="3">
        <v>13.464989500003901</v>
      </c>
      <c r="H9" s="3">
        <v>13.481654900009699</v>
      </c>
      <c r="I9" s="3">
        <v>13.964661600068199</v>
      </c>
      <c r="J9" s="3">
        <v>13.964661600068199</v>
      </c>
      <c r="K9" s="3">
        <v>13.982434000005</v>
      </c>
      <c r="L9" s="3">
        <v>14.2653658000054</v>
      </c>
      <c r="M9" s="3">
        <v>14.849770299973899</v>
      </c>
      <c r="N9" s="3" t="s">
        <v>30</v>
      </c>
      <c r="O9" s="3">
        <v>2</v>
      </c>
      <c r="P9" s="3">
        <v>1</v>
      </c>
      <c r="Q9" s="3">
        <v>1</v>
      </c>
      <c r="R9" s="3">
        <v>0.87670840008649997</v>
      </c>
      <c r="S9" s="3">
        <v>833159</v>
      </c>
      <c r="T9" s="3">
        <v>1</v>
      </c>
      <c r="U9" s="3" t="s">
        <v>31</v>
      </c>
      <c r="V9" s="3" t="s">
        <v>32</v>
      </c>
      <c r="W9" s="3"/>
      <c r="X9" s="3" t="s">
        <v>33</v>
      </c>
      <c r="Y9" s="3">
        <v>59.044180997170301</v>
      </c>
      <c r="Z9" s="3" t="s">
        <v>34</v>
      </c>
      <c r="AA9" s="3">
        <f t="shared" si="0"/>
        <v>8</v>
      </c>
      <c r="AB9" s="3">
        <f t="shared" si="1"/>
        <v>1</v>
      </c>
      <c r="AC9" s="3">
        <f t="shared" si="2"/>
        <v>0</v>
      </c>
      <c r="AD9" s="3">
        <f>SUM(AC$2:AC9)</f>
        <v>1</v>
      </c>
    </row>
    <row r="10" spans="1:30" x14ac:dyDescent="0.3">
      <c r="A10" s="3">
        <v>8</v>
      </c>
      <c r="B10" s="3">
        <v>1</v>
      </c>
      <c r="C10" s="3">
        <v>2</v>
      </c>
      <c r="D10" s="3">
        <v>14.865650700055999</v>
      </c>
      <c r="E10" s="3"/>
      <c r="F10" s="3"/>
      <c r="G10" s="3">
        <v>14.850250600022299</v>
      </c>
      <c r="H10" s="3">
        <v>14.865650700055999</v>
      </c>
      <c r="I10" s="3">
        <v>15.3496344999876</v>
      </c>
      <c r="J10" s="3">
        <v>15.3496344999876</v>
      </c>
      <c r="K10" s="3">
        <v>15.365647000027799</v>
      </c>
      <c r="L10" s="3">
        <v>15.648338500061101</v>
      </c>
      <c r="M10" s="3">
        <v>15.8487248000456</v>
      </c>
      <c r="N10" s="3" t="s">
        <v>35</v>
      </c>
      <c r="O10" s="3">
        <v>-2</v>
      </c>
      <c r="P10" s="3">
        <v>1</v>
      </c>
      <c r="Q10" s="3">
        <v>1</v>
      </c>
      <c r="R10" s="3">
        <v>0.48310900002252299</v>
      </c>
      <c r="S10" s="3">
        <v>833159</v>
      </c>
      <c r="T10" s="3">
        <v>1</v>
      </c>
      <c r="U10" s="3" t="s">
        <v>31</v>
      </c>
      <c r="V10" s="3" t="s">
        <v>32</v>
      </c>
      <c r="W10" s="3"/>
      <c r="X10" s="3" t="s">
        <v>33</v>
      </c>
      <c r="Y10" s="3">
        <v>59.044180997170301</v>
      </c>
      <c r="Z10" s="3" t="s">
        <v>34</v>
      </c>
      <c r="AA10" s="3">
        <f t="shared" si="0"/>
        <v>9</v>
      </c>
      <c r="AB10" s="3">
        <f t="shared" si="1"/>
        <v>1</v>
      </c>
      <c r="AC10" s="3">
        <f t="shared" si="2"/>
        <v>0</v>
      </c>
      <c r="AD10" s="3">
        <f>SUM(AC$2:AC10)</f>
        <v>1</v>
      </c>
    </row>
    <row r="11" spans="1:30" x14ac:dyDescent="0.3">
      <c r="A11" s="3">
        <v>9</v>
      </c>
      <c r="B11" s="3">
        <v>1</v>
      </c>
      <c r="C11" s="3">
        <v>1</v>
      </c>
      <c r="D11" s="3">
        <v>15.8646180999931</v>
      </c>
      <c r="E11" s="3"/>
      <c r="F11" s="3"/>
      <c r="G11" s="3">
        <v>15.849008399993201</v>
      </c>
      <c r="H11" s="3">
        <v>15.8646180999931</v>
      </c>
      <c r="I11" s="3">
        <v>16.350157000008</v>
      </c>
      <c r="J11" s="3">
        <v>16.350157000008</v>
      </c>
      <c r="K11" s="3">
        <v>16.365388800040801</v>
      </c>
      <c r="L11" s="3">
        <v>16.665668400004499</v>
      </c>
      <c r="M11" s="3">
        <v>17.016630599973698</v>
      </c>
      <c r="N11" s="3" t="s">
        <v>35</v>
      </c>
      <c r="O11" s="3">
        <v>-1</v>
      </c>
      <c r="P11" s="3">
        <v>1</v>
      </c>
      <c r="Q11" s="3">
        <v>1</v>
      </c>
      <c r="R11" s="3">
        <v>0.65263010002672694</v>
      </c>
      <c r="S11" s="3">
        <v>833159</v>
      </c>
      <c r="T11" s="3">
        <v>1</v>
      </c>
      <c r="U11" s="3" t="s">
        <v>31</v>
      </c>
      <c r="V11" s="3" t="s">
        <v>32</v>
      </c>
      <c r="W11" s="3"/>
      <c r="X11" s="3" t="s">
        <v>33</v>
      </c>
      <c r="Y11" s="3">
        <v>59.044180997170301</v>
      </c>
      <c r="Z11" s="3" t="s">
        <v>34</v>
      </c>
      <c r="AA11" s="3">
        <f t="shared" si="0"/>
        <v>10</v>
      </c>
      <c r="AB11" s="3">
        <f t="shared" si="1"/>
        <v>1</v>
      </c>
      <c r="AC11" s="3">
        <f t="shared" si="2"/>
        <v>0</v>
      </c>
      <c r="AD11" s="3">
        <f>SUM(AC$2:AC11)</f>
        <v>1</v>
      </c>
    </row>
    <row r="12" spans="1:30" x14ac:dyDescent="0.3">
      <c r="A12" s="3">
        <v>10</v>
      </c>
      <c r="B12" s="3">
        <v>0.5</v>
      </c>
      <c r="C12" s="3">
        <v>1</v>
      </c>
      <c r="D12" s="3">
        <v>17.031822100048899</v>
      </c>
      <c r="E12" s="3"/>
      <c r="F12" s="3"/>
      <c r="G12" s="3">
        <v>17.017045899992802</v>
      </c>
      <c r="H12" s="3">
        <v>17.031822100048899</v>
      </c>
      <c r="I12" s="3">
        <v>17.531548400060299</v>
      </c>
      <c r="J12" s="3">
        <v>17.531548400060299</v>
      </c>
      <c r="K12" s="3">
        <v>17.548368400079202</v>
      </c>
      <c r="L12" s="3">
        <v>17.8319745999761</v>
      </c>
      <c r="M12" s="3">
        <v>18.250020000035899</v>
      </c>
      <c r="N12" s="3" t="s">
        <v>35</v>
      </c>
      <c r="O12" s="3">
        <v>-1</v>
      </c>
      <c r="P12" s="3">
        <v>0</v>
      </c>
      <c r="Q12" s="3">
        <v>0</v>
      </c>
      <c r="R12" s="3">
        <v>0.70458000001963195</v>
      </c>
      <c r="S12" s="3">
        <v>833159</v>
      </c>
      <c r="T12" s="3">
        <v>1</v>
      </c>
      <c r="U12" s="3" t="s">
        <v>31</v>
      </c>
      <c r="V12" s="3" t="s">
        <v>32</v>
      </c>
      <c r="W12" s="3"/>
      <c r="X12" s="3" t="s">
        <v>33</v>
      </c>
      <c r="Y12" s="3">
        <v>59.044180997170301</v>
      </c>
      <c r="Z12" s="3" t="s">
        <v>34</v>
      </c>
      <c r="AA12" s="3">
        <f t="shared" si="0"/>
        <v>11</v>
      </c>
      <c r="AB12" s="3">
        <f t="shared" si="1"/>
        <v>1</v>
      </c>
      <c r="AC12" s="3">
        <f t="shared" si="2"/>
        <v>1</v>
      </c>
      <c r="AD12" s="3">
        <f>SUM(AC$2:AC12)</f>
        <v>2</v>
      </c>
    </row>
    <row r="13" spans="1:30" x14ac:dyDescent="0.3">
      <c r="A13" s="3">
        <v>11</v>
      </c>
      <c r="B13" s="3">
        <v>0.5</v>
      </c>
      <c r="C13" s="3">
        <v>1.5</v>
      </c>
      <c r="D13" s="3">
        <v>18.2656372999772</v>
      </c>
      <c r="E13" s="3"/>
      <c r="F13" s="3"/>
      <c r="G13" s="3">
        <v>18.250518599990802</v>
      </c>
      <c r="H13" s="3">
        <v>18.2656372999772</v>
      </c>
      <c r="I13" s="3">
        <v>18.765455699991399</v>
      </c>
      <c r="J13" s="3">
        <v>18.765455699991399</v>
      </c>
      <c r="K13" s="3">
        <v>18.781108899973301</v>
      </c>
      <c r="L13" s="3">
        <v>19.0644463000353</v>
      </c>
      <c r="M13" s="3">
        <v>19.399726100033199</v>
      </c>
      <c r="N13" s="3" t="s">
        <v>30</v>
      </c>
      <c r="O13" s="3">
        <v>1.5</v>
      </c>
      <c r="P13" s="3">
        <v>1</v>
      </c>
      <c r="Q13" s="3">
        <v>1</v>
      </c>
      <c r="R13" s="3">
        <v>0.63026829995214895</v>
      </c>
      <c r="S13" s="3">
        <v>833159</v>
      </c>
      <c r="T13" s="3">
        <v>1</v>
      </c>
      <c r="U13" s="3" t="s">
        <v>31</v>
      </c>
      <c r="V13" s="3" t="s">
        <v>32</v>
      </c>
      <c r="W13" s="3"/>
      <c r="X13" s="3" t="s">
        <v>33</v>
      </c>
      <c r="Y13" s="3">
        <v>59.044180997170301</v>
      </c>
      <c r="Z13" s="3" t="s">
        <v>34</v>
      </c>
      <c r="AA13" s="3">
        <f t="shared" si="0"/>
        <v>12</v>
      </c>
      <c r="AB13" s="3">
        <f t="shared" si="1"/>
        <v>0</v>
      </c>
      <c r="AC13" s="3">
        <f t="shared" si="2"/>
        <v>0</v>
      </c>
      <c r="AD13" s="3">
        <f>SUM(AC$2:AC13)</f>
        <v>2</v>
      </c>
    </row>
    <row r="14" spans="1:30" x14ac:dyDescent="0.3">
      <c r="A14" s="3">
        <v>12</v>
      </c>
      <c r="B14" s="3">
        <v>0.5</v>
      </c>
      <c r="C14" s="3">
        <v>1.5</v>
      </c>
      <c r="D14" s="3">
        <v>19.4155464000069</v>
      </c>
      <c r="E14" s="3"/>
      <c r="F14" s="3"/>
      <c r="G14" s="3">
        <v>19.400151300011199</v>
      </c>
      <c r="H14" s="3">
        <v>19.4155464000069</v>
      </c>
      <c r="I14" s="3">
        <v>19.916639400064</v>
      </c>
      <c r="J14" s="3">
        <v>19.916639400064</v>
      </c>
      <c r="K14" s="3">
        <v>19.916639400064</v>
      </c>
      <c r="L14" s="3">
        <v>20.2153584000189</v>
      </c>
      <c r="M14" s="3">
        <v>20.483151699998398</v>
      </c>
      <c r="N14" s="3" t="s">
        <v>35</v>
      </c>
      <c r="O14" s="3">
        <v>-1.5</v>
      </c>
      <c r="P14" s="3">
        <v>1</v>
      </c>
      <c r="Q14" s="3">
        <v>1</v>
      </c>
      <c r="R14" s="3">
        <v>0.561811099993065</v>
      </c>
      <c r="S14" s="3">
        <v>833159</v>
      </c>
      <c r="T14" s="3">
        <v>1</v>
      </c>
      <c r="U14" s="3" t="s">
        <v>31</v>
      </c>
      <c r="V14" s="3" t="s">
        <v>32</v>
      </c>
      <c r="W14" s="3"/>
      <c r="X14" s="3" t="s">
        <v>33</v>
      </c>
      <c r="Y14" s="3">
        <v>59.044180997170301</v>
      </c>
      <c r="Z14" s="3" t="s">
        <v>34</v>
      </c>
      <c r="AA14" s="3">
        <f t="shared" si="0"/>
        <v>13</v>
      </c>
      <c r="AB14" s="3">
        <f t="shared" si="1"/>
        <v>1</v>
      </c>
      <c r="AC14" s="3">
        <f t="shared" si="2"/>
        <v>0</v>
      </c>
      <c r="AD14" s="3">
        <f>SUM(AC$2:AC14)</f>
        <v>2</v>
      </c>
    </row>
    <row r="15" spans="1:30" x14ac:dyDescent="0.3">
      <c r="A15" s="3">
        <v>13</v>
      </c>
      <c r="B15" s="3">
        <v>0.5</v>
      </c>
      <c r="C15" s="3">
        <v>1.5</v>
      </c>
      <c r="D15" s="3">
        <v>20.497550299973199</v>
      </c>
      <c r="E15" s="3"/>
      <c r="F15" s="3"/>
      <c r="G15" s="3">
        <v>20.4836433000164</v>
      </c>
      <c r="H15" s="3">
        <v>20.497550299973199</v>
      </c>
      <c r="I15" s="3">
        <v>20.998757300083501</v>
      </c>
      <c r="J15" s="3">
        <v>20.998757300083501</v>
      </c>
      <c r="K15" s="3">
        <v>20.998757300083501</v>
      </c>
      <c r="L15" s="3">
        <v>21.314576599979802</v>
      </c>
      <c r="M15" s="3">
        <v>21.7141805000138</v>
      </c>
      <c r="N15" s="3" t="s">
        <v>30</v>
      </c>
      <c r="O15" s="3">
        <v>1.5</v>
      </c>
      <c r="P15" s="3">
        <v>1</v>
      </c>
      <c r="Q15" s="3">
        <v>1</v>
      </c>
      <c r="R15" s="3">
        <v>0.70367930002976198</v>
      </c>
      <c r="S15" s="3">
        <v>833159</v>
      </c>
      <c r="T15" s="3">
        <v>1</v>
      </c>
      <c r="U15" s="3" t="s">
        <v>31</v>
      </c>
      <c r="V15" s="3" t="s">
        <v>32</v>
      </c>
      <c r="W15" s="3"/>
      <c r="X15" s="3" t="s">
        <v>33</v>
      </c>
      <c r="Y15" s="3">
        <v>59.044180997170301</v>
      </c>
      <c r="Z15" s="3" t="s">
        <v>34</v>
      </c>
      <c r="AA15" s="3">
        <f t="shared" si="0"/>
        <v>14</v>
      </c>
      <c r="AB15" s="3">
        <f t="shared" si="1"/>
        <v>1</v>
      </c>
      <c r="AC15" s="3">
        <f t="shared" si="2"/>
        <v>0</v>
      </c>
      <c r="AD15" s="3">
        <f>SUM(AC$2:AC15)</f>
        <v>2</v>
      </c>
    </row>
    <row r="16" spans="1:30" x14ac:dyDescent="0.3">
      <c r="A16" s="3">
        <v>14</v>
      </c>
      <c r="B16" s="3">
        <v>0.5</v>
      </c>
      <c r="C16" s="3">
        <v>1</v>
      </c>
      <c r="D16" s="3">
        <v>21.730869400082199</v>
      </c>
      <c r="E16" s="3"/>
      <c r="F16" s="3"/>
      <c r="G16" s="3">
        <v>21.7144448000472</v>
      </c>
      <c r="H16" s="3">
        <v>21.730869400082199</v>
      </c>
      <c r="I16" s="3">
        <v>22.216564900009001</v>
      </c>
      <c r="J16" s="3">
        <v>22.216564900009001</v>
      </c>
      <c r="K16" s="3">
        <v>22.231973699992501</v>
      </c>
      <c r="L16" s="3">
        <v>22.516858900082301</v>
      </c>
      <c r="M16" s="3">
        <v>22.781692699994899</v>
      </c>
      <c r="N16" s="3" t="s">
        <v>30</v>
      </c>
      <c r="O16" s="3">
        <v>1</v>
      </c>
      <c r="P16" s="3">
        <v>1</v>
      </c>
      <c r="Q16" s="3">
        <v>1</v>
      </c>
      <c r="R16" s="3">
        <v>0.55875019996892705</v>
      </c>
      <c r="S16" s="3">
        <v>833159</v>
      </c>
      <c r="T16" s="3">
        <v>1</v>
      </c>
      <c r="U16" s="3" t="s">
        <v>31</v>
      </c>
      <c r="V16" s="3" t="s">
        <v>32</v>
      </c>
      <c r="W16" s="3"/>
      <c r="X16" s="3" t="s">
        <v>33</v>
      </c>
      <c r="Y16" s="3">
        <v>59.044180997170301</v>
      </c>
      <c r="Z16" s="3" t="s">
        <v>34</v>
      </c>
      <c r="AA16" s="3">
        <f t="shared" si="0"/>
        <v>15</v>
      </c>
      <c r="AB16" s="3">
        <f t="shared" si="1"/>
        <v>1</v>
      </c>
      <c r="AC16" s="3">
        <f t="shared" si="2"/>
        <v>0</v>
      </c>
      <c r="AD16" s="3">
        <f>SUM(AC$2:AC16)</f>
        <v>2</v>
      </c>
    </row>
    <row r="17" spans="1:30" x14ac:dyDescent="0.3">
      <c r="A17" s="3">
        <v>15</v>
      </c>
      <c r="B17" s="3">
        <v>0.5</v>
      </c>
      <c r="C17" s="3">
        <v>1</v>
      </c>
      <c r="D17" s="3">
        <v>22.797737200046001</v>
      </c>
      <c r="E17" s="3"/>
      <c r="F17" s="3"/>
      <c r="G17" s="3">
        <v>22.782040100079001</v>
      </c>
      <c r="H17" s="3">
        <v>22.797737200046001</v>
      </c>
      <c r="I17" s="3">
        <v>23.282204400049501</v>
      </c>
      <c r="J17" s="3">
        <v>23.282204400049501</v>
      </c>
      <c r="K17" s="3">
        <v>23.297618100070402</v>
      </c>
      <c r="L17" s="3">
        <v>23.582609000033699</v>
      </c>
      <c r="M17" s="3">
        <v>23.816903900005901</v>
      </c>
      <c r="N17" s="3" t="s">
        <v>35</v>
      </c>
      <c r="O17" s="3">
        <v>-1</v>
      </c>
      <c r="P17" s="3">
        <v>1</v>
      </c>
      <c r="Q17" s="3">
        <v>1</v>
      </c>
      <c r="R17" s="3">
        <v>0.52434160001576002</v>
      </c>
      <c r="S17" s="3">
        <v>833159</v>
      </c>
      <c r="T17" s="3">
        <v>1</v>
      </c>
      <c r="U17" s="3" t="s">
        <v>31</v>
      </c>
      <c r="V17" s="3" t="s">
        <v>32</v>
      </c>
      <c r="W17" s="3"/>
      <c r="X17" s="3" t="s">
        <v>33</v>
      </c>
      <c r="Y17" s="3">
        <v>59.044180997170301</v>
      </c>
      <c r="Z17" s="3" t="s">
        <v>34</v>
      </c>
      <c r="AA17" s="3">
        <f t="shared" si="0"/>
        <v>16</v>
      </c>
      <c r="AB17" s="3">
        <f t="shared" si="1"/>
        <v>1</v>
      </c>
      <c r="AC17" s="3">
        <f t="shared" si="2"/>
        <v>0</v>
      </c>
      <c r="AD17" s="3">
        <f>SUM(AC$2:AC17)</f>
        <v>2</v>
      </c>
    </row>
    <row r="18" spans="1:30" x14ac:dyDescent="0.3">
      <c r="A18" s="3">
        <v>16</v>
      </c>
      <c r="B18" s="3">
        <v>0.5</v>
      </c>
      <c r="C18" s="3">
        <v>1</v>
      </c>
      <c r="D18" s="3">
        <v>23.832516300026299</v>
      </c>
      <c r="E18" s="3"/>
      <c r="F18" s="3"/>
      <c r="G18" s="3">
        <v>23.817393400007902</v>
      </c>
      <c r="H18" s="3">
        <v>23.832516300026299</v>
      </c>
      <c r="I18" s="3">
        <v>24.330534000066098</v>
      </c>
      <c r="J18" s="3">
        <v>24.330534000066098</v>
      </c>
      <c r="K18" s="3">
        <v>24.3481493999716</v>
      </c>
      <c r="L18" s="3">
        <v>24.630908800056201</v>
      </c>
      <c r="M18" s="3">
        <v>25.181525300024099</v>
      </c>
      <c r="N18" s="3" t="s">
        <v>35</v>
      </c>
      <c r="O18" s="3">
        <v>-1</v>
      </c>
      <c r="P18" s="3">
        <v>1</v>
      </c>
      <c r="Q18" s="3">
        <v>1</v>
      </c>
      <c r="R18" s="3">
        <v>0.83825390005949896</v>
      </c>
      <c r="S18" s="3">
        <v>833159</v>
      </c>
      <c r="T18" s="3">
        <v>1</v>
      </c>
      <c r="U18" s="3" t="s">
        <v>31</v>
      </c>
      <c r="V18" s="3" t="s">
        <v>32</v>
      </c>
      <c r="W18" s="3"/>
      <c r="X18" s="3" t="s">
        <v>33</v>
      </c>
      <c r="Y18" s="3">
        <v>59.044180997170301</v>
      </c>
      <c r="Z18" s="3" t="s">
        <v>34</v>
      </c>
      <c r="AA18" s="3">
        <f t="shared" si="0"/>
        <v>17</v>
      </c>
      <c r="AB18" s="3">
        <f t="shared" si="1"/>
        <v>1</v>
      </c>
      <c r="AC18" s="3">
        <f t="shared" si="2"/>
        <v>0</v>
      </c>
      <c r="AD18" s="3">
        <f>SUM(AC$2:AC18)</f>
        <v>2</v>
      </c>
    </row>
    <row r="19" spans="1:30" x14ac:dyDescent="0.3">
      <c r="A19" s="3">
        <v>17</v>
      </c>
      <c r="B19" s="3">
        <v>0.5</v>
      </c>
      <c r="C19" s="3">
        <v>1</v>
      </c>
      <c r="D19" s="3">
        <v>25.198574200039701</v>
      </c>
      <c r="E19" s="3"/>
      <c r="F19" s="3"/>
      <c r="G19" s="3">
        <v>25.181847300031201</v>
      </c>
      <c r="H19" s="3">
        <v>25.198574200039701</v>
      </c>
      <c r="I19" s="3">
        <v>25.681128800031701</v>
      </c>
      <c r="J19" s="3">
        <v>25.681128800031701</v>
      </c>
      <c r="K19" s="3">
        <v>25.697650899994201</v>
      </c>
      <c r="L19" s="3">
        <v>25.981933200033399</v>
      </c>
      <c r="M19" s="3">
        <v>26.4503077999689</v>
      </c>
      <c r="N19" s="3" t="s">
        <v>30</v>
      </c>
      <c r="O19" s="3">
        <v>1</v>
      </c>
      <c r="P19" s="3">
        <v>0</v>
      </c>
      <c r="Q19" s="3">
        <v>0</v>
      </c>
      <c r="R19" s="3">
        <v>0.76782539999112498</v>
      </c>
      <c r="S19" s="3">
        <v>833159</v>
      </c>
      <c r="T19" s="3">
        <v>1</v>
      </c>
      <c r="U19" s="3" t="s">
        <v>31</v>
      </c>
      <c r="V19" s="3" t="s">
        <v>32</v>
      </c>
      <c r="W19" s="3"/>
      <c r="X19" s="3" t="s">
        <v>33</v>
      </c>
      <c r="Y19" s="3">
        <v>59.044180997170301</v>
      </c>
      <c r="Z19" s="3" t="s">
        <v>34</v>
      </c>
      <c r="AA19" s="3">
        <f t="shared" si="0"/>
        <v>18</v>
      </c>
      <c r="AB19" s="3">
        <f t="shared" si="1"/>
        <v>1</v>
      </c>
      <c r="AC19" s="3">
        <f t="shared" si="2"/>
        <v>1</v>
      </c>
      <c r="AD19" s="3">
        <f>SUM(AC$2:AC19)</f>
        <v>3</v>
      </c>
    </row>
    <row r="20" spans="1:30" x14ac:dyDescent="0.3">
      <c r="A20" s="3">
        <v>18</v>
      </c>
      <c r="B20" s="3">
        <v>0.5</v>
      </c>
      <c r="C20" s="3">
        <v>1.5</v>
      </c>
      <c r="D20" s="3">
        <v>26.4667192000197</v>
      </c>
      <c r="E20" s="3"/>
      <c r="F20" s="3"/>
      <c r="G20" s="3">
        <v>26.451013199984999</v>
      </c>
      <c r="H20" s="3">
        <v>26.4667192000197</v>
      </c>
      <c r="I20" s="3">
        <v>26.966761299991099</v>
      </c>
      <c r="J20" s="3">
        <v>26.966761299991099</v>
      </c>
      <c r="K20" s="3">
        <v>26.966761299991099</v>
      </c>
      <c r="L20" s="3">
        <v>27.281498900032599</v>
      </c>
      <c r="M20" s="3">
        <v>27.617090600077098</v>
      </c>
      <c r="N20" s="3" t="s">
        <v>30</v>
      </c>
      <c r="O20" s="3">
        <v>1.5</v>
      </c>
      <c r="P20" s="3">
        <v>0</v>
      </c>
      <c r="Q20" s="3">
        <v>0</v>
      </c>
      <c r="R20" s="3">
        <v>0.64030179998371795</v>
      </c>
      <c r="S20" s="3">
        <v>833159</v>
      </c>
      <c r="T20" s="3">
        <v>1</v>
      </c>
      <c r="U20" s="3" t="s">
        <v>31</v>
      </c>
      <c r="V20" s="3" t="s">
        <v>32</v>
      </c>
      <c r="W20" s="3"/>
      <c r="X20" s="3" t="s">
        <v>33</v>
      </c>
      <c r="Y20" s="3">
        <v>59.044180997170301</v>
      </c>
      <c r="Z20" s="3" t="s">
        <v>34</v>
      </c>
      <c r="AA20" s="3">
        <f t="shared" si="0"/>
        <v>19</v>
      </c>
      <c r="AB20" s="3">
        <f t="shared" si="1"/>
        <v>0</v>
      </c>
      <c r="AC20" s="3">
        <f t="shared" si="2"/>
        <v>0</v>
      </c>
      <c r="AD20" s="3">
        <f>SUM(AC$2:AC20)</f>
        <v>3</v>
      </c>
    </row>
    <row r="21" spans="1:30" x14ac:dyDescent="0.3">
      <c r="A21" s="3">
        <v>19</v>
      </c>
      <c r="B21" s="3">
        <v>0.5</v>
      </c>
      <c r="C21" s="3">
        <v>2</v>
      </c>
      <c r="D21" s="3">
        <v>27.631307500065301</v>
      </c>
      <c r="E21" s="3"/>
      <c r="F21" s="3"/>
      <c r="G21" s="3">
        <v>27.6176293999888</v>
      </c>
      <c r="H21" s="3">
        <v>27.631307500065301</v>
      </c>
      <c r="I21" s="3">
        <v>28.132764299982199</v>
      </c>
      <c r="J21" s="3">
        <v>28.132764299982199</v>
      </c>
      <c r="K21" s="3">
        <v>28.132764299982199</v>
      </c>
      <c r="L21" s="3">
        <v>28.4320335000521</v>
      </c>
      <c r="M21" s="3">
        <v>28.697676200070401</v>
      </c>
      <c r="N21" s="3" t="s">
        <v>35</v>
      </c>
      <c r="O21" s="3">
        <v>-2</v>
      </c>
      <c r="P21" s="3">
        <v>1</v>
      </c>
      <c r="Q21" s="3">
        <v>1</v>
      </c>
      <c r="R21" s="3">
        <v>0.55415360000915803</v>
      </c>
      <c r="S21" s="3">
        <v>833159</v>
      </c>
      <c r="T21" s="3">
        <v>1</v>
      </c>
      <c r="U21" s="3" t="s">
        <v>31</v>
      </c>
      <c r="V21" s="3" t="s">
        <v>32</v>
      </c>
      <c r="W21" s="3"/>
      <c r="X21" s="3" t="s">
        <v>33</v>
      </c>
      <c r="Y21" s="3">
        <v>59.044180997170301</v>
      </c>
      <c r="Z21" s="3" t="s">
        <v>34</v>
      </c>
      <c r="AA21" s="3">
        <f t="shared" si="0"/>
        <v>20</v>
      </c>
      <c r="AB21" s="3">
        <f t="shared" si="1"/>
        <v>0</v>
      </c>
      <c r="AC21" s="3">
        <f t="shared" si="2"/>
        <v>0</v>
      </c>
      <c r="AD21" s="3">
        <f>SUM(AC$2:AC21)</f>
        <v>3</v>
      </c>
    </row>
    <row r="22" spans="1:30" x14ac:dyDescent="0.3">
      <c r="A22" s="3">
        <v>20</v>
      </c>
      <c r="B22" s="3">
        <v>0.5</v>
      </c>
      <c r="C22" s="3">
        <v>2</v>
      </c>
      <c r="D22" s="3">
        <v>28.714283199980901</v>
      </c>
      <c r="E22" s="3"/>
      <c r="F22" s="3"/>
      <c r="G22" s="3">
        <v>28.697947200038499</v>
      </c>
      <c r="H22" s="3">
        <v>28.714283199980901</v>
      </c>
      <c r="I22" s="3">
        <v>29.199434300069701</v>
      </c>
      <c r="J22" s="3">
        <v>29.199434300069701</v>
      </c>
      <c r="K22" s="3">
        <v>29.215953900013101</v>
      </c>
      <c r="L22" s="3">
        <v>29.499463299987799</v>
      </c>
      <c r="M22" s="3">
        <v>30.0341084999964</v>
      </c>
      <c r="N22" s="3" t="s">
        <v>30</v>
      </c>
      <c r="O22" s="3">
        <v>2</v>
      </c>
      <c r="P22" s="3">
        <v>1</v>
      </c>
      <c r="Q22" s="3">
        <v>1</v>
      </c>
      <c r="R22" s="3">
        <v>0.82334190001711305</v>
      </c>
      <c r="S22" s="3">
        <v>833159</v>
      </c>
      <c r="T22" s="3">
        <v>1</v>
      </c>
      <c r="U22" s="3" t="s">
        <v>31</v>
      </c>
      <c r="V22" s="3" t="s">
        <v>32</v>
      </c>
      <c r="W22" s="3"/>
      <c r="X22" s="3" t="s">
        <v>33</v>
      </c>
      <c r="Y22" s="3">
        <v>59.044180997170301</v>
      </c>
      <c r="Z22" s="3" t="s">
        <v>34</v>
      </c>
      <c r="AA22" s="3">
        <f t="shared" si="0"/>
        <v>21</v>
      </c>
      <c r="AB22" s="3">
        <f t="shared" si="1"/>
        <v>1</v>
      </c>
      <c r="AC22" s="3">
        <f t="shared" si="2"/>
        <v>0</v>
      </c>
      <c r="AD22" s="3">
        <f>SUM(AC$2:AC22)</f>
        <v>3</v>
      </c>
    </row>
    <row r="23" spans="1:30" x14ac:dyDescent="0.3">
      <c r="A23" s="3">
        <v>21</v>
      </c>
      <c r="B23" s="3">
        <v>0.5</v>
      </c>
      <c r="C23" s="3">
        <v>2</v>
      </c>
      <c r="D23" s="3">
        <v>30.0479980000528</v>
      </c>
      <c r="E23" s="3"/>
      <c r="F23" s="3"/>
      <c r="G23" s="3">
        <v>30.034753100015202</v>
      </c>
      <c r="H23" s="3">
        <v>30.0479980000528</v>
      </c>
      <c r="I23" s="3">
        <v>30.549159300047901</v>
      </c>
      <c r="J23" s="3">
        <v>30.549159300047901</v>
      </c>
      <c r="K23" s="3">
        <v>30.549159300047901</v>
      </c>
      <c r="L23" s="3">
        <v>30.8633780999808</v>
      </c>
      <c r="M23" s="3">
        <v>31.048362100031198</v>
      </c>
      <c r="N23" s="3" t="s">
        <v>35</v>
      </c>
      <c r="O23" s="3">
        <v>-2</v>
      </c>
      <c r="P23" s="3">
        <v>1</v>
      </c>
      <c r="Q23" s="3">
        <v>1</v>
      </c>
      <c r="R23" s="3">
        <v>0.48546730005182298</v>
      </c>
      <c r="S23" s="3">
        <v>833159</v>
      </c>
      <c r="T23" s="3">
        <v>1</v>
      </c>
      <c r="U23" s="3" t="s">
        <v>31</v>
      </c>
      <c r="V23" s="3" t="s">
        <v>32</v>
      </c>
      <c r="W23" s="3"/>
      <c r="X23" s="3" t="s">
        <v>33</v>
      </c>
      <c r="Y23" s="3">
        <v>59.044180997170301</v>
      </c>
      <c r="Z23" s="3" t="s">
        <v>34</v>
      </c>
      <c r="AA23" s="3">
        <f t="shared" si="0"/>
        <v>22</v>
      </c>
      <c r="AB23" s="3">
        <f t="shared" si="1"/>
        <v>1</v>
      </c>
      <c r="AC23" s="3">
        <f t="shared" si="2"/>
        <v>0</v>
      </c>
      <c r="AD23" s="3">
        <f>SUM(AC$2:AC23)</f>
        <v>3</v>
      </c>
    </row>
    <row r="24" spans="1:30" x14ac:dyDescent="0.3">
      <c r="A24" s="3">
        <v>22</v>
      </c>
      <c r="B24" s="3">
        <v>0.5</v>
      </c>
      <c r="C24" s="3">
        <v>1.5</v>
      </c>
      <c r="D24" s="3">
        <v>31.0643159999745</v>
      </c>
      <c r="E24" s="3"/>
      <c r="F24" s="3"/>
      <c r="G24" s="3">
        <v>31.048713800031699</v>
      </c>
      <c r="H24" s="3">
        <v>31.0643159999745</v>
      </c>
      <c r="I24" s="3">
        <v>31.563479500007801</v>
      </c>
      <c r="J24" s="3">
        <v>31.563479500007801</v>
      </c>
      <c r="K24" s="3">
        <v>31.563479500007801</v>
      </c>
      <c r="L24" s="3">
        <v>31.863074399996599</v>
      </c>
      <c r="M24" s="3">
        <v>31.996777700027501</v>
      </c>
      <c r="N24" s="3" t="s">
        <v>35</v>
      </c>
      <c r="O24" s="3">
        <v>-1.5</v>
      </c>
      <c r="P24" s="3">
        <v>1</v>
      </c>
      <c r="Q24" s="3">
        <v>1</v>
      </c>
      <c r="R24" s="3">
        <v>0.41984139999840397</v>
      </c>
      <c r="S24" s="3">
        <v>833159</v>
      </c>
      <c r="T24" s="3">
        <v>1</v>
      </c>
      <c r="U24" s="3" t="s">
        <v>31</v>
      </c>
      <c r="V24" s="3" t="s">
        <v>32</v>
      </c>
      <c r="W24" s="3"/>
      <c r="X24" s="3" t="s">
        <v>33</v>
      </c>
      <c r="Y24" s="3">
        <v>59.044180997170301</v>
      </c>
      <c r="Z24" s="3" t="s">
        <v>34</v>
      </c>
      <c r="AA24" s="3">
        <f t="shared" si="0"/>
        <v>23</v>
      </c>
      <c r="AB24" s="3">
        <f t="shared" si="1"/>
        <v>1</v>
      </c>
      <c r="AC24" s="3">
        <f t="shared" si="2"/>
        <v>0</v>
      </c>
      <c r="AD24" s="3">
        <f>SUM(AC$2:AC24)</f>
        <v>3</v>
      </c>
    </row>
    <row r="25" spans="1:30" x14ac:dyDescent="0.3">
      <c r="A25" s="3">
        <v>23</v>
      </c>
      <c r="B25" s="3">
        <v>0.5</v>
      </c>
      <c r="C25" s="3">
        <v>1.5</v>
      </c>
      <c r="D25" s="3">
        <v>32.012785200029597</v>
      </c>
      <c r="E25" s="3"/>
      <c r="F25" s="3"/>
      <c r="G25" s="3">
        <v>31.996922999969701</v>
      </c>
      <c r="H25" s="3">
        <v>32.012785200029597</v>
      </c>
      <c r="I25" s="3">
        <v>32.496586899971597</v>
      </c>
      <c r="J25" s="3">
        <v>32.496586899971597</v>
      </c>
      <c r="K25" s="3">
        <v>32.513434200082003</v>
      </c>
      <c r="L25" s="3">
        <v>32.798717600060598</v>
      </c>
      <c r="M25" s="3">
        <v>33.033945400035002</v>
      </c>
      <c r="N25" s="3" t="s">
        <v>35</v>
      </c>
      <c r="O25" s="3">
        <v>-1.5</v>
      </c>
      <c r="P25" s="3">
        <v>1</v>
      </c>
      <c r="Q25" s="3">
        <v>1</v>
      </c>
      <c r="R25" s="3">
        <v>0.52474849997088302</v>
      </c>
      <c r="S25" s="3">
        <v>833159</v>
      </c>
      <c r="T25" s="3">
        <v>1</v>
      </c>
      <c r="U25" s="3" t="s">
        <v>31</v>
      </c>
      <c r="V25" s="3" t="s">
        <v>32</v>
      </c>
      <c r="W25" s="3"/>
      <c r="X25" s="3" t="s">
        <v>33</v>
      </c>
      <c r="Y25" s="3">
        <v>59.044180997170301</v>
      </c>
      <c r="Z25" s="3" t="s">
        <v>34</v>
      </c>
      <c r="AA25" s="3">
        <f t="shared" si="0"/>
        <v>24</v>
      </c>
      <c r="AB25" s="3">
        <f t="shared" si="1"/>
        <v>1</v>
      </c>
      <c r="AC25" s="3">
        <f t="shared" si="2"/>
        <v>0</v>
      </c>
      <c r="AD25" s="3">
        <f>SUM(AC$2:AC25)</f>
        <v>3</v>
      </c>
    </row>
    <row r="26" spans="1:30" x14ac:dyDescent="0.3">
      <c r="A26" s="3">
        <v>24</v>
      </c>
      <c r="B26" s="3">
        <v>0.5</v>
      </c>
      <c r="C26" s="3">
        <v>1.5</v>
      </c>
      <c r="D26" s="3">
        <v>33.047871200018598</v>
      </c>
      <c r="E26" s="3"/>
      <c r="F26" s="3"/>
      <c r="G26" s="3">
        <v>33.034376500058002</v>
      </c>
      <c r="H26" s="3">
        <v>33.047871200018598</v>
      </c>
      <c r="I26" s="3">
        <v>33.548537300084703</v>
      </c>
      <c r="J26" s="3">
        <v>33.548537300084703</v>
      </c>
      <c r="K26" s="3">
        <v>33.548537300084703</v>
      </c>
      <c r="L26" s="3">
        <v>33.847537799971199</v>
      </c>
      <c r="M26" s="3">
        <v>34.066615300020203</v>
      </c>
      <c r="N26" s="3" t="s">
        <v>35</v>
      </c>
      <c r="O26" s="3">
        <v>-1.5</v>
      </c>
      <c r="P26" s="3">
        <v>1</v>
      </c>
      <c r="Q26" s="3">
        <v>1</v>
      </c>
      <c r="R26" s="3">
        <v>0.51351670001167804</v>
      </c>
      <c r="S26" s="3">
        <v>833159</v>
      </c>
      <c r="T26" s="3">
        <v>1</v>
      </c>
      <c r="U26" s="3" t="s">
        <v>31</v>
      </c>
      <c r="V26" s="3" t="s">
        <v>32</v>
      </c>
      <c r="W26" s="3"/>
      <c r="X26" s="3" t="s">
        <v>33</v>
      </c>
      <c r="Y26" s="3">
        <v>59.044180997170301</v>
      </c>
      <c r="Z26" s="3" t="s">
        <v>34</v>
      </c>
      <c r="AA26" s="3">
        <f t="shared" si="0"/>
        <v>25</v>
      </c>
      <c r="AB26" s="3">
        <f t="shared" si="1"/>
        <v>1</v>
      </c>
      <c r="AC26" s="3">
        <f t="shared" si="2"/>
        <v>0</v>
      </c>
      <c r="AD26" s="3">
        <f>SUM(AC$2:AC26)</f>
        <v>3</v>
      </c>
    </row>
    <row r="27" spans="1:30" x14ac:dyDescent="0.3">
      <c r="A27" s="3">
        <v>25</v>
      </c>
      <c r="B27" s="3">
        <v>0.5</v>
      </c>
      <c r="C27" s="3">
        <v>1</v>
      </c>
      <c r="D27" s="3">
        <v>34.082313899998603</v>
      </c>
      <c r="E27" s="3"/>
      <c r="F27" s="3"/>
      <c r="G27" s="3">
        <v>34.067111300071701</v>
      </c>
      <c r="H27" s="3">
        <v>34.082313899998603</v>
      </c>
      <c r="I27" s="3">
        <v>34.581165399984499</v>
      </c>
      <c r="J27" s="3">
        <v>34.581165399984499</v>
      </c>
      <c r="K27" s="3">
        <v>34.581165399984499</v>
      </c>
      <c r="L27" s="3">
        <v>34.8828119999962</v>
      </c>
      <c r="M27" s="3">
        <v>35.165931500028798</v>
      </c>
      <c r="N27" s="3" t="s">
        <v>35</v>
      </c>
      <c r="O27" s="3">
        <v>-1</v>
      </c>
      <c r="P27" s="3">
        <v>1</v>
      </c>
      <c r="Q27" s="3">
        <v>1</v>
      </c>
      <c r="R27" s="3">
        <v>0.57566830003634095</v>
      </c>
      <c r="S27" s="3">
        <v>833159</v>
      </c>
      <c r="T27" s="3">
        <v>1</v>
      </c>
      <c r="U27" s="3" t="s">
        <v>31</v>
      </c>
      <c r="V27" s="3" t="s">
        <v>32</v>
      </c>
      <c r="W27" s="3"/>
      <c r="X27" s="3" t="s">
        <v>33</v>
      </c>
      <c r="Y27" s="3">
        <v>59.044180997170301</v>
      </c>
      <c r="Z27" s="3" t="s">
        <v>34</v>
      </c>
      <c r="AA27" s="3">
        <f t="shared" si="0"/>
        <v>26</v>
      </c>
      <c r="AB27" s="3">
        <f t="shared" si="1"/>
        <v>1</v>
      </c>
      <c r="AC27" s="3">
        <f t="shared" si="2"/>
        <v>0</v>
      </c>
      <c r="AD27" s="3">
        <f>SUM(AC$2:AC27)</f>
        <v>3</v>
      </c>
    </row>
    <row r="28" spans="1:30" x14ac:dyDescent="0.3">
      <c r="A28" s="3">
        <v>26</v>
      </c>
      <c r="B28" s="3">
        <v>0.5</v>
      </c>
      <c r="C28" s="3">
        <v>1</v>
      </c>
      <c r="D28" s="3">
        <v>35.180833299993502</v>
      </c>
      <c r="E28" s="3"/>
      <c r="F28" s="3"/>
      <c r="G28" s="3">
        <v>35.166283100028501</v>
      </c>
      <c r="H28" s="3">
        <v>35.180833299993502</v>
      </c>
      <c r="I28" s="3">
        <v>35.6656450000592</v>
      </c>
      <c r="J28" s="3">
        <v>35.6656450000592</v>
      </c>
      <c r="K28" s="3">
        <v>35.682436599978303</v>
      </c>
      <c r="L28" s="3">
        <v>35.965216299984597</v>
      </c>
      <c r="M28" s="3">
        <v>36.0827906000195</v>
      </c>
      <c r="N28" s="3" t="s">
        <v>35</v>
      </c>
      <c r="O28" s="3">
        <v>-1</v>
      </c>
      <c r="P28" s="3">
        <v>1</v>
      </c>
      <c r="Q28" s="3">
        <v>1</v>
      </c>
      <c r="R28" s="3">
        <v>0.399785100016743</v>
      </c>
      <c r="S28" s="3">
        <v>833159</v>
      </c>
      <c r="T28" s="3">
        <v>1</v>
      </c>
      <c r="U28" s="3" t="s">
        <v>31</v>
      </c>
      <c r="V28" s="3" t="s">
        <v>32</v>
      </c>
      <c r="W28" s="3"/>
      <c r="X28" s="3" t="s">
        <v>33</v>
      </c>
      <c r="Y28" s="3">
        <v>59.044180997170301</v>
      </c>
      <c r="Z28" s="3" t="s">
        <v>34</v>
      </c>
      <c r="AA28" s="3">
        <f t="shared" si="0"/>
        <v>27</v>
      </c>
      <c r="AB28" s="3">
        <f t="shared" si="1"/>
        <v>1</v>
      </c>
      <c r="AC28" s="3">
        <f t="shared" si="2"/>
        <v>0</v>
      </c>
      <c r="AD28" s="3">
        <f>SUM(AC$2:AC28)</f>
        <v>3</v>
      </c>
    </row>
    <row r="29" spans="1:30" x14ac:dyDescent="0.3">
      <c r="A29" s="3">
        <v>27</v>
      </c>
      <c r="B29" s="3">
        <v>0.5</v>
      </c>
      <c r="C29" s="3">
        <v>1</v>
      </c>
      <c r="D29" s="3">
        <v>36.1002398000564</v>
      </c>
      <c r="E29" s="3"/>
      <c r="F29" s="3"/>
      <c r="G29" s="3">
        <v>36.083211999968597</v>
      </c>
      <c r="H29" s="3">
        <v>36.1002398000564</v>
      </c>
      <c r="I29" s="3">
        <v>36.580886200070402</v>
      </c>
      <c r="J29" s="3">
        <v>36.580886200070402</v>
      </c>
      <c r="K29" s="3">
        <v>36.614039900014198</v>
      </c>
      <c r="L29" s="3">
        <v>36.884256500052302</v>
      </c>
      <c r="M29" s="3">
        <v>37.234584100078798</v>
      </c>
      <c r="N29" s="3" t="s">
        <v>30</v>
      </c>
      <c r="O29" s="3">
        <v>1</v>
      </c>
      <c r="P29" s="3">
        <v>0</v>
      </c>
      <c r="Q29" s="3">
        <v>0</v>
      </c>
      <c r="R29" s="3">
        <v>0.64978089998476196</v>
      </c>
      <c r="S29" s="3">
        <v>833159</v>
      </c>
      <c r="T29" s="3">
        <v>1</v>
      </c>
      <c r="U29" s="3" t="s">
        <v>31</v>
      </c>
      <c r="V29" s="3" t="s">
        <v>32</v>
      </c>
      <c r="W29" s="3"/>
      <c r="X29" s="3" t="s">
        <v>33</v>
      </c>
      <c r="Y29" s="3">
        <v>59.044180997170301</v>
      </c>
      <c r="Z29" s="3" t="s">
        <v>34</v>
      </c>
      <c r="AA29" s="3">
        <f t="shared" si="0"/>
        <v>28</v>
      </c>
      <c r="AB29" s="3">
        <f t="shared" si="1"/>
        <v>1</v>
      </c>
      <c r="AC29" s="3">
        <f t="shared" si="2"/>
        <v>1</v>
      </c>
      <c r="AD29" s="3">
        <f>SUM(AC$2:AC29)</f>
        <v>4</v>
      </c>
    </row>
    <row r="30" spans="1:30" x14ac:dyDescent="0.3">
      <c r="A30" s="3">
        <v>28</v>
      </c>
      <c r="B30" s="3">
        <v>0.5</v>
      </c>
      <c r="C30" s="3">
        <v>1.5</v>
      </c>
      <c r="D30" s="3">
        <v>37.249389300006399</v>
      </c>
      <c r="E30" s="3"/>
      <c r="F30" s="3"/>
      <c r="G30" s="3">
        <v>37.235154499998302</v>
      </c>
      <c r="H30" s="3">
        <v>37.249389300006399</v>
      </c>
      <c r="I30" s="3">
        <v>37.749951799982199</v>
      </c>
      <c r="J30" s="3">
        <v>37.749951799982199</v>
      </c>
      <c r="K30" s="3">
        <v>37.749951799982199</v>
      </c>
      <c r="L30" s="3">
        <v>38.049225100083298</v>
      </c>
      <c r="M30" s="3">
        <v>38.201459500007303</v>
      </c>
      <c r="N30" s="3" t="s">
        <v>30</v>
      </c>
      <c r="O30" s="3">
        <v>1.5</v>
      </c>
      <c r="P30" s="3">
        <v>1</v>
      </c>
      <c r="Q30" s="3">
        <v>1</v>
      </c>
      <c r="R30" s="3">
        <v>0.44497079995926497</v>
      </c>
      <c r="S30" s="3">
        <v>833159</v>
      </c>
      <c r="T30" s="3">
        <v>1</v>
      </c>
      <c r="U30" s="3" t="s">
        <v>31</v>
      </c>
      <c r="V30" s="3" t="s">
        <v>32</v>
      </c>
      <c r="W30" s="3"/>
      <c r="X30" s="3" t="s">
        <v>33</v>
      </c>
      <c r="Y30" s="3">
        <v>59.044180997170301</v>
      </c>
      <c r="Z30" s="3" t="s">
        <v>34</v>
      </c>
      <c r="AA30" s="3">
        <f t="shared" si="0"/>
        <v>29</v>
      </c>
      <c r="AB30" s="3">
        <f t="shared" si="1"/>
        <v>0</v>
      </c>
      <c r="AC30" s="3">
        <f t="shared" si="2"/>
        <v>0</v>
      </c>
      <c r="AD30" s="3">
        <f>SUM(AC$2:AC30)</f>
        <v>4</v>
      </c>
    </row>
    <row r="31" spans="1:30" x14ac:dyDescent="0.3">
      <c r="A31" s="3">
        <v>29</v>
      </c>
      <c r="B31" s="3">
        <v>0.5</v>
      </c>
      <c r="C31" s="3">
        <v>1.5</v>
      </c>
      <c r="D31" s="3">
        <v>38.214319800026701</v>
      </c>
      <c r="E31" s="3"/>
      <c r="F31" s="3"/>
      <c r="G31" s="3">
        <v>38.2020789000671</v>
      </c>
      <c r="H31" s="3">
        <v>38.214319800026701</v>
      </c>
      <c r="I31" s="3">
        <v>38.714800700079699</v>
      </c>
      <c r="J31" s="3">
        <v>38.714800700079699</v>
      </c>
      <c r="K31" s="3">
        <v>38.714800700079699</v>
      </c>
      <c r="L31" s="3">
        <v>39.014135100063903</v>
      </c>
      <c r="M31" s="3">
        <v>39.315067899995498</v>
      </c>
      <c r="N31" s="3" t="s">
        <v>30</v>
      </c>
      <c r="O31" s="3">
        <v>1.5</v>
      </c>
      <c r="P31" s="3">
        <v>1</v>
      </c>
      <c r="Q31" s="3">
        <v>1</v>
      </c>
      <c r="R31" s="3">
        <v>0.58777289988938697</v>
      </c>
      <c r="S31" s="3">
        <v>833159</v>
      </c>
      <c r="T31" s="3">
        <v>1</v>
      </c>
      <c r="U31" s="3" t="s">
        <v>31</v>
      </c>
      <c r="V31" s="3" t="s">
        <v>32</v>
      </c>
      <c r="W31" s="3"/>
      <c r="X31" s="3" t="s">
        <v>33</v>
      </c>
      <c r="Y31" s="3">
        <v>59.044180997170301</v>
      </c>
      <c r="Z31" s="3" t="s">
        <v>34</v>
      </c>
      <c r="AA31" s="3">
        <f t="shared" si="0"/>
        <v>30</v>
      </c>
      <c r="AB31" s="3">
        <f t="shared" si="1"/>
        <v>1</v>
      </c>
      <c r="AC31" s="3">
        <f t="shared" si="2"/>
        <v>0</v>
      </c>
      <c r="AD31" s="3">
        <f>SUM(AC$2:AC31)</f>
        <v>4</v>
      </c>
    </row>
    <row r="32" spans="1:30" x14ac:dyDescent="0.3">
      <c r="A32" s="3">
        <v>30</v>
      </c>
      <c r="B32" s="3">
        <v>0.5</v>
      </c>
      <c r="C32" s="3">
        <v>1.5</v>
      </c>
      <c r="D32" s="3">
        <v>39.3303504000651</v>
      </c>
      <c r="E32" s="3"/>
      <c r="F32" s="3"/>
      <c r="G32" s="3">
        <v>39.315386199974498</v>
      </c>
      <c r="H32" s="3">
        <v>39.3303504000651</v>
      </c>
      <c r="I32" s="3">
        <v>39.814526000060098</v>
      </c>
      <c r="J32" s="3">
        <v>39.814526000060098</v>
      </c>
      <c r="K32" s="3">
        <v>39.830703500076197</v>
      </c>
      <c r="L32" s="3">
        <v>40.116645400063099</v>
      </c>
      <c r="M32" s="3">
        <v>40.4307600000175</v>
      </c>
      <c r="N32" s="3" t="s">
        <v>35</v>
      </c>
      <c r="O32" s="3">
        <v>-1.5</v>
      </c>
      <c r="P32" s="3">
        <v>1</v>
      </c>
      <c r="Q32" s="3">
        <v>1</v>
      </c>
      <c r="R32" s="3">
        <v>0.60529859992675505</v>
      </c>
      <c r="S32" s="3">
        <v>833159</v>
      </c>
      <c r="T32" s="3">
        <v>1</v>
      </c>
      <c r="U32" s="3" t="s">
        <v>31</v>
      </c>
      <c r="V32" s="3" t="s">
        <v>32</v>
      </c>
      <c r="W32" s="3"/>
      <c r="X32" s="3" t="s">
        <v>33</v>
      </c>
      <c r="Y32" s="3">
        <v>59.044180997170301</v>
      </c>
      <c r="Z32" s="3" t="s">
        <v>34</v>
      </c>
      <c r="AA32" s="3">
        <f t="shared" si="0"/>
        <v>31</v>
      </c>
      <c r="AB32" s="3">
        <f t="shared" si="1"/>
        <v>1</v>
      </c>
      <c r="AC32" s="3">
        <f t="shared" si="2"/>
        <v>0</v>
      </c>
      <c r="AD32" s="3">
        <f>SUM(AC$2:AC32)</f>
        <v>4</v>
      </c>
    </row>
    <row r="33" spans="1:30" x14ac:dyDescent="0.3">
      <c r="A33" s="3">
        <v>31</v>
      </c>
      <c r="B33" s="3">
        <v>0.5</v>
      </c>
      <c r="C33" s="3">
        <v>1</v>
      </c>
      <c r="D33" s="3">
        <v>40.446235100040198</v>
      </c>
      <c r="E33" s="3"/>
      <c r="F33" s="3"/>
      <c r="G33" s="3">
        <v>40.4309811000712</v>
      </c>
      <c r="H33" s="3">
        <v>40.446235100040198</v>
      </c>
      <c r="I33" s="3">
        <v>40.930914700031302</v>
      </c>
      <c r="J33" s="3">
        <v>40.930914700031302</v>
      </c>
      <c r="K33" s="3">
        <v>40.948713900055701</v>
      </c>
      <c r="L33" s="3">
        <v>41.231746700010298</v>
      </c>
      <c r="M33" s="3">
        <v>41.816000099992401</v>
      </c>
      <c r="N33" s="3" t="s">
        <v>30</v>
      </c>
      <c r="O33" s="3">
        <v>1</v>
      </c>
      <c r="P33" s="3">
        <v>0</v>
      </c>
      <c r="Q33" s="3">
        <v>0</v>
      </c>
      <c r="R33" s="3">
        <v>0.87716200004797396</v>
      </c>
      <c r="S33" s="3">
        <v>833159</v>
      </c>
      <c r="T33" s="3">
        <v>1</v>
      </c>
      <c r="U33" s="3" t="s">
        <v>31</v>
      </c>
      <c r="V33" s="3" t="s">
        <v>32</v>
      </c>
      <c r="W33" s="3"/>
      <c r="X33" s="3" t="s">
        <v>33</v>
      </c>
      <c r="Y33" s="3">
        <v>59.044180997170301</v>
      </c>
      <c r="Z33" s="3" t="s">
        <v>34</v>
      </c>
      <c r="AA33" s="3">
        <f t="shared" si="0"/>
        <v>32</v>
      </c>
      <c r="AB33" s="3">
        <f t="shared" si="1"/>
        <v>1</v>
      </c>
      <c r="AC33" s="3">
        <f t="shared" si="2"/>
        <v>1</v>
      </c>
      <c r="AD33" s="3">
        <f>SUM(AC$2:AC33)</f>
        <v>5</v>
      </c>
    </row>
    <row r="34" spans="1:30" x14ac:dyDescent="0.3">
      <c r="A34" s="3">
        <v>32</v>
      </c>
      <c r="B34" s="3">
        <v>0.5</v>
      </c>
      <c r="C34" s="3">
        <v>1.5</v>
      </c>
      <c r="D34" s="3">
        <v>41.8318804000737</v>
      </c>
      <c r="E34" s="3"/>
      <c r="F34" s="3"/>
      <c r="G34" s="3">
        <v>41.816445300006301</v>
      </c>
      <c r="H34" s="3">
        <v>41.8318804000737</v>
      </c>
      <c r="I34" s="3">
        <v>42.314616100047701</v>
      </c>
      <c r="J34" s="3">
        <v>42.314616100047701</v>
      </c>
      <c r="K34" s="3">
        <v>42.331898099975703</v>
      </c>
      <c r="L34" s="3">
        <v>42.615887599997201</v>
      </c>
      <c r="M34" s="3">
        <v>43.016859000083102</v>
      </c>
      <c r="N34" s="3" t="s">
        <v>30</v>
      </c>
      <c r="O34" s="3">
        <v>1.5</v>
      </c>
      <c r="P34" s="3">
        <v>1</v>
      </c>
      <c r="Q34" s="3">
        <v>1</v>
      </c>
      <c r="R34" s="3">
        <v>0.69391170004382696</v>
      </c>
      <c r="S34" s="3">
        <v>833159</v>
      </c>
      <c r="T34" s="3">
        <v>1</v>
      </c>
      <c r="U34" s="3" t="s">
        <v>31</v>
      </c>
      <c r="V34" s="3" t="s">
        <v>32</v>
      </c>
      <c r="W34" s="3"/>
      <c r="X34" s="3" t="s">
        <v>33</v>
      </c>
      <c r="Y34" s="3">
        <v>59.044180997170301</v>
      </c>
      <c r="Z34" s="3" t="s">
        <v>34</v>
      </c>
      <c r="AA34" s="3">
        <f t="shared" ref="AA34:AA65" si="3">A34+1</f>
        <v>33</v>
      </c>
      <c r="AB34" s="3">
        <f t="shared" si="1"/>
        <v>0</v>
      </c>
      <c r="AC34" s="3">
        <f t="shared" si="2"/>
        <v>0</v>
      </c>
      <c r="AD34" s="3">
        <f>SUM(AC$2:AC34)</f>
        <v>5</v>
      </c>
    </row>
    <row r="35" spans="1:30" x14ac:dyDescent="0.3">
      <c r="A35" s="3">
        <v>33</v>
      </c>
      <c r="B35" s="3">
        <v>0.5</v>
      </c>
      <c r="C35" s="3">
        <v>1.5</v>
      </c>
      <c r="D35" s="3">
        <v>43.032719800015897</v>
      </c>
      <c r="E35" s="3"/>
      <c r="F35" s="3"/>
      <c r="G35" s="3">
        <v>43.017344100051602</v>
      </c>
      <c r="H35" s="3">
        <v>43.032719800015897</v>
      </c>
      <c r="I35" s="3">
        <v>43.516014600056202</v>
      </c>
      <c r="J35" s="3">
        <v>43.516014600056202</v>
      </c>
      <c r="K35" s="3">
        <v>43.531302500050501</v>
      </c>
      <c r="L35" s="3">
        <v>43.815939199994297</v>
      </c>
      <c r="M35" s="3">
        <v>44.198196800076403</v>
      </c>
      <c r="N35" s="3" t="s">
        <v>35</v>
      </c>
      <c r="O35" s="3">
        <v>-1.5</v>
      </c>
      <c r="P35" s="3">
        <v>1</v>
      </c>
      <c r="Q35" s="3">
        <v>1</v>
      </c>
      <c r="R35" s="3">
        <v>0.67888789996504795</v>
      </c>
      <c r="S35" s="3">
        <v>833159</v>
      </c>
      <c r="T35" s="3">
        <v>1</v>
      </c>
      <c r="U35" s="3" t="s">
        <v>31</v>
      </c>
      <c r="V35" s="3" t="s">
        <v>32</v>
      </c>
      <c r="W35" s="3"/>
      <c r="X35" s="3" t="s">
        <v>33</v>
      </c>
      <c r="Y35" s="3">
        <v>59.044180997170301</v>
      </c>
      <c r="Z35" s="3" t="s">
        <v>34</v>
      </c>
      <c r="AA35" s="3">
        <f t="shared" si="3"/>
        <v>34</v>
      </c>
      <c r="AB35" s="3">
        <f t="shared" ref="AB35:AB66" si="4">Q34</f>
        <v>1</v>
      </c>
      <c r="AC35" s="3">
        <f t="shared" ref="AC35:AC66" si="5">IF(AND(AB35=1,Q35=0),1,0)</f>
        <v>0</v>
      </c>
      <c r="AD35" s="3">
        <f>SUM(AC$2:AC35)</f>
        <v>5</v>
      </c>
    </row>
    <row r="36" spans="1:30" x14ac:dyDescent="0.3">
      <c r="A36" s="3">
        <v>34</v>
      </c>
      <c r="B36" s="3">
        <v>0.5</v>
      </c>
      <c r="C36" s="3">
        <v>1.5</v>
      </c>
      <c r="D36" s="3">
        <v>44.2139206000138</v>
      </c>
      <c r="E36" s="3"/>
      <c r="F36" s="3"/>
      <c r="G36" s="3">
        <v>44.198508100002101</v>
      </c>
      <c r="H36" s="3">
        <v>44.2139206000138</v>
      </c>
      <c r="I36" s="3">
        <v>44.698033699998597</v>
      </c>
      <c r="J36" s="3">
        <v>44.698033699998597</v>
      </c>
      <c r="K36" s="3">
        <v>44.714513699989801</v>
      </c>
      <c r="L36" s="3">
        <v>44.999339099973398</v>
      </c>
      <c r="M36" s="3">
        <v>45.716792999999598</v>
      </c>
      <c r="N36" s="3" t="s">
        <v>30</v>
      </c>
      <c r="O36" s="3">
        <v>1.5</v>
      </c>
      <c r="P36" s="3">
        <v>1</v>
      </c>
      <c r="Q36" s="3">
        <v>1</v>
      </c>
      <c r="R36" s="3">
        <v>1.0056901000207299</v>
      </c>
      <c r="S36" s="3">
        <v>833159</v>
      </c>
      <c r="T36" s="3">
        <v>1</v>
      </c>
      <c r="U36" s="3" t="s">
        <v>31</v>
      </c>
      <c r="V36" s="3" t="s">
        <v>32</v>
      </c>
      <c r="W36" s="3"/>
      <c r="X36" s="3" t="s">
        <v>33</v>
      </c>
      <c r="Y36" s="3">
        <v>59.044180997170301</v>
      </c>
      <c r="Z36" s="3" t="s">
        <v>34</v>
      </c>
      <c r="AA36" s="3">
        <f t="shared" si="3"/>
        <v>35</v>
      </c>
      <c r="AB36" s="3">
        <f t="shared" si="4"/>
        <v>1</v>
      </c>
      <c r="AC36" s="3">
        <f t="shared" si="5"/>
        <v>0</v>
      </c>
      <c r="AD36" s="3">
        <f>SUM(AC$2:AC36)</f>
        <v>5</v>
      </c>
    </row>
    <row r="37" spans="1:30" x14ac:dyDescent="0.3">
      <c r="A37" s="3">
        <v>35</v>
      </c>
      <c r="B37" s="3">
        <v>0.5</v>
      </c>
      <c r="C37" s="3">
        <v>1</v>
      </c>
      <c r="D37" s="3">
        <v>45.732073400053203</v>
      </c>
      <c r="E37" s="3"/>
      <c r="F37" s="3"/>
      <c r="G37" s="3">
        <v>45.717125399969497</v>
      </c>
      <c r="H37" s="3">
        <v>45.732073400053203</v>
      </c>
      <c r="I37" s="3">
        <v>46.232799399993397</v>
      </c>
      <c r="J37" s="3">
        <v>46.232799399993397</v>
      </c>
      <c r="K37" s="3">
        <v>46.232799399993397</v>
      </c>
      <c r="L37" s="3">
        <v>46.532052400056301</v>
      </c>
      <c r="M37" s="3">
        <v>46.866860900074201</v>
      </c>
      <c r="N37" s="3" t="s">
        <v>35</v>
      </c>
      <c r="O37" s="3">
        <v>-1</v>
      </c>
      <c r="P37" s="3">
        <v>1</v>
      </c>
      <c r="Q37" s="3">
        <v>1</v>
      </c>
      <c r="R37" s="3">
        <v>0.62646399997174695</v>
      </c>
      <c r="S37" s="3">
        <v>833159</v>
      </c>
      <c r="T37" s="3">
        <v>1</v>
      </c>
      <c r="U37" s="3" t="s">
        <v>31</v>
      </c>
      <c r="V37" s="3" t="s">
        <v>32</v>
      </c>
      <c r="W37" s="3"/>
      <c r="X37" s="3" t="s">
        <v>33</v>
      </c>
      <c r="Y37" s="3">
        <v>59.044180997170301</v>
      </c>
      <c r="Z37" s="3" t="s">
        <v>34</v>
      </c>
      <c r="AA37" s="3">
        <f t="shared" si="3"/>
        <v>36</v>
      </c>
      <c r="AB37" s="3">
        <f t="shared" si="4"/>
        <v>1</v>
      </c>
      <c r="AC37" s="3">
        <f t="shared" si="5"/>
        <v>0</v>
      </c>
      <c r="AD37" s="3">
        <f>SUM(AC$2:AC37)</f>
        <v>5</v>
      </c>
    </row>
    <row r="38" spans="1:30" x14ac:dyDescent="0.3">
      <c r="A38" s="3">
        <v>36</v>
      </c>
      <c r="B38" s="3">
        <v>0.5</v>
      </c>
      <c r="C38" s="3">
        <v>1</v>
      </c>
      <c r="D38" s="3">
        <v>46.882808899972602</v>
      </c>
      <c r="E38" s="3"/>
      <c r="F38" s="3"/>
      <c r="G38" s="3">
        <v>46.867318600066902</v>
      </c>
      <c r="H38" s="3">
        <v>46.882808899972602</v>
      </c>
      <c r="I38" s="3">
        <v>47.382647900027202</v>
      </c>
      <c r="J38" s="3">
        <v>47.382647900027202</v>
      </c>
      <c r="K38" s="3">
        <v>47.397871599998297</v>
      </c>
      <c r="L38" s="3">
        <v>47.680873000063002</v>
      </c>
      <c r="M38" s="3">
        <v>48.082554999971798</v>
      </c>
      <c r="N38" s="3" t="s">
        <v>30</v>
      </c>
      <c r="O38" s="3">
        <v>1</v>
      </c>
      <c r="P38" s="3">
        <v>0</v>
      </c>
      <c r="Q38" s="3">
        <v>0</v>
      </c>
      <c r="R38" s="3">
        <v>0.68308970006182801</v>
      </c>
      <c r="S38" s="3">
        <v>833159</v>
      </c>
      <c r="T38" s="3">
        <v>1</v>
      </c>
      <c r="U38" s="3" t="s">
        <v>31</v>
      </c>
      <c r="V38" s="3" t="s">
        <v>32</v>
      </c>
      <c r="W38" s="3"/>
      <c r="X38" s="3" t="s">
        <v>33</v>
      </c>
      <c r="Y38" s="3">
        <v>59.044180997170301</v>
      </c>
      <c r="Z38" s="3" t="s">
        <v>34</v>
      </c>
      <c r="AA38" s="3">
        <f t="shared" si="3"/>
        <v>37</v>
      </c>
      <c r="AB38" s="3">
        <f t="shared" si="4"/>
        <v>1</v>
      </c>
      <c r="AC38" s="3">
        <f t="shared" si="5"/>
        <v>1</v>
      </c>
      <c r="AD38" s="3">
        <f>SUM(AC$2:AC38)</f>
        <v>6</v>
      </c>
    </row>
    <row r="39" spans="1:30" x14ac:dyDescent="0.3">
      <c r="A39" s="3">
        <v>37</v>
      </c>
      <c r="B39" s="3">
        <v>0.5</v>
      </c>
      <c r="C39" s="3">
        <v>1.5</v>
      </c>
      <c r="D39" s="3">
        <v>48.098413300002001</v>
      </c>
      <c r="E39" s="3"/>
      <c r="F39" s="3"/>
      <c r="G39" s="3">
        <v>48.082984299981</v>
      </c>
      <c r="H39" s="3">
        <v>48.098413300002001</v>
      </c>
      <c r="I39" s="3">
        <v>48.597472700057601</v>
      </c>
      <c r="J39" s="3">
        <v>48.597472700057601</v>
      </c>
      <c r="K39" s="3">
        <v>48.597472700057601</v>
      </c>
      <c r="L39" s="3">
        <v>48.899477500002803</v>
      </c>
      <c r="M39" s="3">
        <v>49.115633600042202</v>
      </c>
      <c r="N39" s="3" t="s">
        <v>35</v>
      </c>
      <c r="O39" s="3">
        <v>-1.5</v>
      </c>
      <c r="P39" s="3">
        <v>1</v>
      </c>
      <c r="Q39" s="3">
        <v>1</v>
      </c>
      <c r="R39" s="3">
        <v>0.51152129995171003</v>
      </c>
      <c r="S39" s="3">
        <v>833159</v>
      </c>
      <c r="T39" s="3">
        <v>1</v>
      </c>
      <c r="U39" s="3" t="s">
        <v>31</v>
      </c>
      <c r="V39" s="3" t="s">
        <v>32</v>
      </c>
      <c r="W39" s="3"/>
      <c r="X39" s="3" t="s">
        <v>33</v>
      </c>
      <c r="Y39" s="3">
        <v>59.044180997170301</v>
      </c>
      <c r="Z39" s="3" t="s">
        <v>34</v>
      </c>
      <c r="AA39" s="3">
        <f t="shared" si="3"/>
        <v>38</v>
      </c>
      <c r="AB39" s="3">
        <f t="shared" si="4"/>
        <v>0</v>
      </c>
      <c r="AC39" s="3">
        <f t="shared" si="5"/>
        <v>0</v>
      </c>
      <c r="AD39" s="3">
        <f>SUM(AC$2:AC39)</f>
        <v>6</v>
      </c>
    </row>
    <row r="40" spans="1:30" x14ac:dyDescent="0.3">
      <c r="A40" s="3">
        <v>38</v>
      </c>
      <c r="B40" s="3">
        <v>0.5</v>
      </c>
      <c r="C40" s="3">
        <v>1.5</v>
      </c>
      <c r="D40" s="3">
        <v>49.1329994000262</v>
      </c>
      <c r="E40" s="3"/>
      <c r="F40" s="3"/>
      <c r="G40" s="3">
        <v>49.116011200007101</v>
      </c>
      <c r="H40" s="3">
        <v>49.1329994000262</v>
      </c>
      <c r="I40" s="3">
        <v>49.630724900052897</v>
      </c>
      <c r="J40" s="3">
        <v>49.630724900052897</v>
      </c>
      <c r="K40" s="3">
        <v>49.648123200051501</v>
      </c>
      <c r="L40" s="3">
        <v>49.930747400037902</v>
      </c>
      <c r="M40" s="3">
        <v>50.416616100002997</v>
      </c>
      <c r="N40" s="3" t="s">
        <v>30</v>
      </c>
      <c r="O40" s="3">
        <v>1.5</v>
      </c>
      <c r="P40" s="3">
        <v>0</v>
      </c>
      <c r="Q40" s="3">
        <v>0</v>
      </c>
      <c r="R40" s="3">
        <v>0.76893400005064905</v>
      </c>
      <c r="S40" s="3">
        <v>833159</v>
      </c>
      <c r="T40" s="3">
        <v>1</v>
      </c>
      <c r="U40" s="3" t="s">
        <v>31</v>
      </c>
      <c r="V40" s="3" t="s">
        <v>32</v>
      </c>
      <c r="W40" s="3"/>
      <c r="X40" s="3" t="s">
        <v>33</v>
      </c>
      <c r="Y40" s="3">
        <v>59.044180997170301</v>
      </c>
      <c r="Z40" s="3" t="s">
        <v>34</v>
      </c>
      <c r="AA40" s="3">
        <f t="shared" si="3"/>
        <v>39</v>
      </c>
      <c r="AB40" s="3">
        <f t="shared" si="4"/>
        <v>1</v>
      </c>
      <c r="AC40" s="3">
        <f t="shared" si="5"/>
        <v>1</v>
      </c>
      <c r="AD40" s="3">
        <f>SUM(AC$2:AC40)</f>
        <v>7</v>
      </c>
    </row>
    <row r="41" spans="1:30" x14ac:dyDescent="0.3">
      <c r="A41" s="3">
        <v>39</v>
      </c>
      <c r="B41" s="3">
        <v>0.5</v>
      </c>
      <c r="C41" s="3">
        <v>2</v>
      </c>
      <c r="D41" s="3">
        <v>50.433196100057103</v>
      </c>
      <c r="E41" s="3"/>
      <c r="F41" s="3"/>
      <c r="G41" s="3">
        <v>50.4171755000716</v>
      </c>
      <c r="H41" s="3">
        <v>50.433196100057103</v>
      </c>
      <c r="I41" s="3">
        <v>50.914477700018303</v>
      </c>
      <c r="J41" s="3">
        <v>50.914477700018303</v>
      </c>
      <c r="K41" s="3">
        <v>50.947366700041997</v>
      </c>
      <c r="L41" s="3">
        <v>51.216252900077997</v>
      </c>
      <c r="M41" s="3">
        <v>51.48157980002</v>
      </c>
      <c r="N41" s="3" t="s">
        <v>30</v>
      </c>
      <c r="O41" s="3">
        <v>2</v>
      </c>
      <c r="P41" s="3">
        <v>0</v>
      </c>
      <c r="Q41" s="3">
        <v>0</v>
      </c>
      <c r="R41" s="3">
        <v>0.563555700005963</v>
      </c>
      <c r="S41" s="3">
        <v>833159</v>
      </c>
      <c r="T41" s="3">
        <v>1</v>
      </c>
      <c r="U41" s="3" t="s">
        <v>31</v>
      </c>
      <c r="V41" s="3" t="s">
        <v>32</v>
      </c>
      <c r="W41" s="3"/>
      <c r="X41" s="3" t="s">
        <v>33</v>
      </c>
      <c r="Y41" s="3">
        <v>59.044180997170301</v>
      </c>
      <c r="Z41" s="3" t="s">
        <v>34</v>
      </c>
      <c r="AA41" s="3">
        <f t="shared" si="3"/>
        <v>40</v>
      </c>
      <c r="AB41" s="3">
        <f t="shared" si="4"/>
        <v>0</v>
      </c>
      <c r="AC41" s="3">
        <f t="shared" si="5"/>
        <v>0</v>
      </c>
      <c r="AD41" s="3">
        <f>SUM(AC$2:AC41)</f>
        <v>7</v>
      </c>
    </row>
    <row r="42" spans="1:30" x14ac:dyDescent="0.3">
      <c r="A42" s="3">
        <v>40</v>
      </c>
      <c r="B42" s="3">
        <v>0.5</v>
      </c>
      <c r="C42" s="3">
        <v>2.5</v>
      </c>
      <c r="D42" s="3">
        <v>51.497438100050204</v>
      </c>
      <c r="E42" s="3"/>
      <c r="F42" s="3"/>
      <c r="G42" s="3">
        <v>51.481878400081797</v>
      </c>
      <c r="H42" s="3">
        <v>51.497438100050204</v>
      </c>
      <c r="I42" s="3">
        <v>51.981332499999603</v>
      </c>
      <c r="J42" s="3">
        <v>51.981332499999603</v>
      </c>
      <c r="K42" s="3">
        <v>51.998096600058503</v>
      </c>
      <c r="L42" s="3">
        <v>52.280979100032702</v>
      </c>
      <c r="M42" s="3">
        <v>52.484377300017499</v>
      </c>
      <c r="N42" s="3" t="s">
        <v>30</v>
      </c>
      <c r="O42" s="3">
        <v>2.5</v>
      </c>
      <c r="P42" s="3">
        <v>1</v>
      </c>
      <c r="Q42" s="3">
        <v>1</v>
      </c>
      <c r="R42" s="3">
        <v>0.49541850003879501</v>
      </c>
      <c r="S42" s="3">
        <v>833159</v>
      </c>
      <c r="T42" s="3">
        <v>1</v>
      </c>
      <c r="U42" s="3" t="s">
        <v>31</v>
      </c>
      <c r="V42" s="3" t="s">
        <v>32</v>
      </c>
      <c r="W42" s="3"/>
      <c r="X42" s="3" t="s">
        <v>33</v>
      </c>
      <c r="Y42" s="3">
        <v>59.044180997170301</v>
      </c>
      <c r="Z42" s="3" t="s">
        <v>34</v>
      </c>
      <c r="AA42" s="3">
        <f t="shared" si="3"/>
        <v>41</v>
      </c>
      <c r="AB42" s="3">
        <f t="shared" si="4"/>
        <v>0</v>
      </c>
      <c r="AC42" s="3">
        <f t="shared" si="5"/>
        <v>0</v>
      </c>
      <c r="AD42" s="3">
        <f>SUM(AC$2:AC42)</f>
        <v>7</v>
      </c>
    </row>
    <row r="43" spans="1:30" x14ac:dyDescent="0.3">
      <c r="A43" s="3">
        <v>41</v>
      </c>
      <c r="B43" s="3">
        <v>0.5</v>
      </c>
      <c r="C43" s="3">
        <v>2.5</v>
      </c>
      <c r="D43" s="3">
        <v>52.4984502000734</v>
      </c>
      <c r="E43" s="3"/>
      <c r="F43" s="3"/>
      <c r="G43" s="3">
        <v>52.4850242000539</v>
      </c>
      <c r="H43" s="3">
        <v>52.4984502000734</v>
      </c>
      <c r="I43" s="3">
        <v>52.997760200058103</v>
      </c>
      <c r="J43" s="3">
        <v>52.997760200058103</v>
      </c>
      <c r="K43" s="3">
        <v>52.997760200058103</v>
      </c>
      <c r="L43" s="3">
        <v>53.297511800075902</v>
      </c>
      <c r="M43" s="3">
        <v>53.615674800006701</v>
      </c>
      <c r="N43" s="3" t="s">
        <v>35</v>
      </c>
      <c r="O43" s="3">
        <v>-2.5</v>
      </c>
      <c r="P43" s="3">
        <v>1</v>
      </c>
      <c r="Q43" s="3">
        <v>1</v>
      </c>
      <c r="R43" s="3">
        <v>0.61219389992766104</v>
      </c>
      <c r="S43" s="3">
        <v>833159</v>
      </c>
      <c r="T43" s="3">
        <v>1</v>
      </c>
      <c r="U43" s="3" t="s">
        <v>31</v>
      </c>
      <c r="V43" s="3" t="s">
        <v>32</v>
      </c>
      <c r="W43" s="3"/>
      <c r="X43" s="3" t="s">
        <v>33</v>
      </c>
      <c r="Y43" s="3">
        <v>59.044180997170301</v>
      </c>
      <c r="Z43" s="3" t="s">
        <v>34</v>
      </c>
      <c r="AA43" s="3">
        <f t="shared" si="3"/>
        <v>42</v>
      </c>
      <c r="AB43" s="3">
        <f t="shared" si="4"/>
        <v>1</v>
      </c>
      <c r="AC43" s="3">
        <f t="shared" si="5"/>
        <v>0</v>
      </c>
      <c r="AD43" s="3">
        <f>SUM(AC$2:AC43)</f>
        <v>7</v>
      </c>
    </row>
    <row r="44" spans="1:30" x14ac:dyDescent="0.3">
      <c r="A44" s="3">
        <v>42</v>
      </c>
      <c r="B44" s="3">
        <v>0.5</v>
      </c>
      <c r="C44" s="3">
        <v>2.5</v>
      </c>
      <c r="D44" s="3">
        <v>53.631096999975902</v>
      </c>
      <c r="E44" s="3"/>
      <c r="F44" s="3"/>
      <c r="G44" s="3">
        <v>53.616021599969798</v>
      </c>
      <c r="H44" s="3">
        <v>53.631096999975902</v>
      </c>
      <c r="I44" s="3">
        <v>54.116121700033602</v>
      </c>
      <c r="J44" s="3">
        <v>54.116121700033602</v>
      </c>
      <c r="K44" s="3">
        <v>54.132715700077803</v>
      </c>
      <c r="L44" s="3">
        <v>54.431712000048698</v>
      </c>
      <c r="M44" s="3">
        <v>54.732380700064802</v>
      </c>
      <c r="N44" s="3" t="s">
        <v>30</v>
      </c>
      <c r="O44" s="3">
        <v>2.5</v>
      </c>
      <c r="P44" s="3">
        <v>1</v>
      </c>
      <c r="Q44" s="3">
        <v>1</v>
      </c>
      <c r="R44" s="3">
        <v>0.61259110004175499</v>
      </c>
      <c r="S44" s="3">
        <v>833159</v>
      </c>
      <c r="T44" s="3">
        <v>1</v>
      </c>
      <c r="U44" s="3" t="s">
        <v>31</v>
      </c>
      <c r="V44" s="3" t="s">
        <v>32</v>
      </c>
      <c r="W44" s="3"/>
      <c r="X44" s="3" t="s">
        <v>33</v>
      </c>
      <c r="Y44" s="3">
        <v>59.044180997170301</v>
      </c>
      <c r="Z44" s="3" t="s">
        <v>34</v>
      </c>
      <c r="AA44" s="3">
        <f t="shared" si="3"/>
        <v>43</v>
      </c>
      <c r="AB44" s="3">
        <f t="shared" si="4"/>
        <v>1</v>
      </c>
      <c r="AC44" s="3">
        <f t="shared" si="5"/>
        <v>0</v>
      </c>
      <c r="AD44" s="3">
        <f>SUM(AC$2:AC44)</f>
        <v>7</v>
      </c>
    </row>
    <row r="45" spans="1:30" x14ac:dyDescent="0.3">
      <c r="A45" s="3">
        <v>43</v>
      </c>
      <c r="B45" s="3">
        <v>0.5</v>
      </c>
      <c r="C45" s="3">
        <v>2</v>
      </c>
      <c r="D45" s="3">
        <v>54.749140999978401</v>
      </c>
      <c r="E45" s="3"/>
      <c r="F45" s="3"/>
      <c r="G45" s="3">
        <v>54.732781999977298</v>
      </c>
      <c r="H45" s="3">
        <v>54.749140999978401</v>
      </c>
      <c r="I45" s="3">
        <v>55.247868400067098</v>
      </c>
      <c r="J45" s="3">
        <v>55.247868400067098</v>
      </c>
      <c r="K45" s="3">
        <v>55.265365700004601</v>
      </c>
      <c r="L45" s="3">
        <v>55.549468400073202</v>
      </c>
      <c r="M45" s="3">
        <v>55.599078000057503</v>
      </c>
      <c r="N45" s="3" t="s">
        <v>30</v>
      </c>
      <c r="O45" s="3">
        <v>2</v>
      </c>
      <c r="P45" s="3">
        <v>0</v>
      </c>
      <c r="Q45" s="3">
        <v>0</v>
      </c>
      <c r="R45" s="3">
        <v>0.33764889999292802</v>
      </c>
      <c r="S45" s="3">
        <v>833159</v>
      </c>
      <c r="T45" s="3">
        <v>1</v>
      </c>
      <c r="U45" s="3" t="s">
        <v>31</v>
      </c>
      <c r="V45" s="3" t="s">
        <v>32</v>
      </c>
      <c r="W45" s="3"/>
      <c r="X45" s="3" t="s">
        <v>33</v>
      </c>
      <c r="Y45" s="3">
        <v>59.044180997170301</v>
      </c>
      <c r="Z45" s="3" t="s">
        <v>34</v>
      </c>
      <c r="AA45" s="3">
        <f t="shared" si="3"/>
        <v>44</v>
      </c>
      <c r="AB45" s="3">
        <f t="shared" si="4"/>
        <v>1</v>
      </c>
      <c r="AC45" s="3">
        <f t="shared" si="5"/>
        <v>1</v>
      </c>
      <c r="AD45" s="3">
        <f>SUM(AC$2:AC45)</f>
        <v>8</v>
      </c>
    </row>
    <row r="46" spans="1:30" x14ac:dyDescent="0.3">
      <c r="A46" s="3">
        <v>44</v>
      </c>
      <c r="B46" s="3">
        <v>0.5</v>
      </c>
      <c r="C46" s="3">
        <v>2.5</v>
      </c>
      <c r="D46" s="3">
        <v>55.614081899984697</v>
      </c>
      <c r="E46" s="3"/>
      <c r="F46" s="3"/>
      <c r="G46" s="3">
        <v>55.599406099994702</v>
      </c>
      <c r="H46" s="3">
        <v>55.614081899984697</v>
      </c>
      <c r="I46" s="3">
        <v>56.114424400031602</v>
      </c>
      <c r="J46" s="3">
        <v>56.114424400031602</v>
      </c>
      <c r="K46" s="3">
        <v>56.114424400031602</v>
      </c>
      <c r="L46" s="3">
        <v>56.416221700026703</v>
      </c>
      <c r="M46" s="3">
        <v>56.781939200009198</v>
      </c>
      <c r="N46" s="3" t="s">
        <v>35</v>
      </c>
      <c r="O46" s="3">
        <v>-2.5</v>
      </c>
      <c r="P46" s="3">
        <v>0</v>
      </c>
      <c r="Q46" s="3">
        <v>0</v>
      </c>
      <c r="R46" s="3">
        <v>0.656032999977469</v>
      </c>
      <c r="S46" s="3">
        <v>833159</v>
      </c>
      <c r="T46" s="3">
        <v>1</v>
      </c>
      <c r="U46" s="3" t="s">
        <v>31</v>
      </c>
      <c r="V46" s="3" t="s">
        <v>32</v>
      </c>
      <c r="W46" s="3"/>
      <c r="X46" s="3" t="s">
        <v>33</v>
      </c>
      <c r="Y46" s="3">
        <v>59.044180997170301</v>
      </c>
      <c r="Z46" s="3" t="s">
        <v>34</v>
      </c>
      <c r="AA46" s="3">
        <f t="shared" si="3"/>
        <v>45</v>
      </c>
      <c r="AB46" s="3">
        <f t="shared" si="4"/>
        <v>0</v>
      </c>
      <c r="AC46" s="3">
        <f t="shared" si="5"/>
        <v>0</v>
      </c>
      <c r="AD46" s="3">
        <f>SUM(AC$2:AC46)</f>
        <v>8</v>
      </c>
    </row>
    <row r="47" spans="1:30" x14ac:dyDescent="0.3">
      <c r="A47" s="3">
        <v>45</v>
      </c>
      <c r="B47" s="3">
        <v>0.5</v>
      </c>
      <c r="C47" s="3">
        <v>3</v>
      </c>
      <c r="D47" s="3">
        <v>56.797390300082</v>
      </c>
      <c r="E47" s="3"/>
      <c r="F47" s="3"/>
      <c r="G47" s="3">
        <v>56.782313700066901</v>
      </c>
      <c r="H47" s="3">
        <v>56.797390300082</v>
      </c>
      <c r="I47" s="3">
        <v>57.282604100066202</v>
      </c>
      <c r="J47" s="3">
        <v>57.282604100066202</v>
      </c>
      <c r="K47" s="3">
        <v>57.2979475000175</v>
      </c>
      <c r="L47" s="3">
        <v>57.596802800078898</v>
      </c>
      <c r="M47" s="3">
        <v>58.066662500030397</v>
      </c>
      <c r="N47" s="3" t="s">
        <v>35</v>
      </c>
      <c r="O47" s="3">
        <v>-3</v>
      </c>
      <c r="P47" s="3">
        <v>1</v>
      </c>
      <c r="Q47" s="3">
        <v>1</v>
      </c>
      <c r="R47" s="3">
        <v>0.78057099995203305</v>
      </c>
      <c r="S47" s="3">
        <v>833159</v>
      </c>
      <c r="T47" s="3">
        <v>1</v>
      </c>
      <c r="U47" s="3" t="s">
        <v>31</v>
      </c>
      <c r="V47" s="3" t="s">
        <v>32</v>
      </c>
      <c r="W47" s="3"/>
      <c r="X47" s="3" t="s">
        <v>33</v>
      </c>
      <c r="Y47" s="3">
        <v>59.044180997170301</v>
      </c>
      <c r="Z47" s="3" t="s">
        <v>34</v>
      </c>
      <c r="AA47" s="3">
        <f t="shared" si="3"/>
        <v>46</v>
      </c>
      <c r="AB47" s="3">
        <f t="shared" si="4"/>
        <v>0</v>
      </c>
      <c r="AC47" s="3">
        <f t="shared" si="5"/>
        <v>0</v>
      </c>
      <c r="AD47" s="3">
        <f>SUM(AC$2:AC47)</f>
        <v>8</v>
      </c>
    </row>
    <row r="48" spans="1:30" x14ac:dyDescent="0.3">
      <c r="A48" s="3">
        <v>46</v>
      </c>
      <c r="B48" s="3">
        <v>0.5</v>
      </c>
      <c r="C48" s="3">
        <v>3</v>
      </c>
      <c r="D48" s="3">
        <v>58.081286899978302</v>
      </c>
      <c r="E48" s="3"/>
      <c r="F48" s="3"/>
      <c r="G48" s="3">
        <v>58.067092200042701</v>
      </c>
      <c r="H48" s="3">
        <v>58.081286899978302</v>
      </c>
      <c r="I48" s="3">
        <v>58.566113500040998</v>
      </c>
      <c r="J48" s="3">
        <v>58.566113500040998</v>
      </c>
      <c r="K48" s="3">
        <v>58.582208900013903</v>
      </c>
      <c r="L48" s="3">
        <v>58.881765700061798</v>
      </c>
      <c r="M48" s="3">
        <v>59.333307499997296</v>
      </c>
      <c r="N48" s="3" t="s">
        <v>35</v>
      </c>
      <c r="O48" s="3">
        <v>-3</v>
      </c>
      <c r="P48" s="3">
        <v>1</v>
      </c>
      <c r="Q48" s="3">
        <v>1</v>
      </c>
      <c r="R48" s="3">
        <v>0.76391489990055605</v>
      </c>
      <c r="S48" s="3">
        <v>833159</v>
      </c>
      <c r="T48" s="3">
        <v>1</v>
      </c>
      <c r="U48" s="3" t="s">
        <v>31</v>
      </c>
      <c r="V48" s="3" t="s">
        <v>32</v>
      </c>
      <c r="W48" s="3"/>
      <c r="X48" s="3" t="s">
        <v>33</v>
      </c>
      <c r="Y48" s="3">
        <v>59.044180997170301</v>
      </c>
      <c r="Z48" s="3" t="s">
        <v>34</v>
      </c>
      <c r="AA48" s="3">
        <f t="shared" si="3"/>
        <v>47</v>
      </c>
      <c r="AB48" s="3">
        <f t="shared" si="4"/>
        <v>1</v>
      </c>
      <c r="AC48" s="3">
        <f t="shared" si="5"/>
        <v>0</v>
      </c>
      <c r="AD48" s="3">
        <f>SUM(AC$2:AC48)</f>
        <v>8</v>
      </c>
    </row>
    <row r="49" spans="1:30" x14ac:dyDescent="0.3">
      <c r="A49" s="3">
        <v>47</v>
      </c>
      <c r="B49" s="3">
        <v>0.5</v>
      </c>
      <c r="C49" s="3">
        <v>3</v>
      </c>
      <c r="D49" s="3">
        <v>59.3494469000725</v>
      </c>
      <c r="E49" s="3"/>
      <c r="F49" s="3"/>
      <c r="G49" s="3">
        <v>59.333791600074598</v>
      </c>
      <c r="H49" s="3">
        <v>59.3494469000725</v>
      </c>
      <c r="I49" s="3">
        <v>59.8314430000028</v>
      </c>
      <c r="J49" s="3">
        <v>59.8314430000028</v>
      </c>
      <c r="K49" s="3">
        <v>59.864602299989201</v>
      </c>
      <c r="L49" s="3">
        <v>60.131598600069999</v>
      </c>
      <c r="M49" s="3">
        <v>60.765907300054103</v>
      </c>
      <c r="N49" s="3" t="s">
        <v>35</v>
      </c>
      <c r="O49" s="3">
        <v>-3</v>
      </c>
      <c r="P49" s="3">
        <v>1</v>
      </c>
      <c r="Q49" s="3">
        <v>1</v>
      </c>
      <c r="R49" s="3">
        <v>0.92907680000644199</v>
      </c>
      <c r="S49" s="3">
        <v>833159</v>
      </c>
      <c r="T49" s="3">
        <v>1</v>
      </c>
      <c r="U49" s="3" t="s">
        <v>31</v>
      </c>
      <c r="V49" s="3" t="s">
        <v>32</v>
      </c>
      <c r="W49" s="3"/>
      <c r="X49" s="3" t="s">
        <v>33</v>
      </c>
      <c r="Y49" s="3">
        <v>59.044180997170301</v>
      </c>
      <c r="Z49" s="3" t="s">
        <v>34</v>
      </c>
      <c r="AA49" s="3">
        <f t="shared" si="3"/>
        <v>48</v>
      </c>
      <c r="AB49" s="3">
        <f t="shared" si="4"/>
        <v>1</v>
      </c>
      <c r="AC49" s="3">
        <f t="shared" si="5"/>
        <v>0</v>
      </c>
      <c r="AD49" s="3">
        <f>SUM(AC$2:AC49)</f>
        <v>8</v>
      </c>
    </row>
    <row r="50" spans="1:30" x14ac:dyDescent="0.3">
      <c r="A50" s="3">
        <v>48</v>
      </c>
      <c r="B50" s="3">
        <v>0.5</v>
      </c>
      <c r="C50" s="3">
        <v>2.5</v>
      </c>
      <c r="D50" s="3">
        <v>60.782585200038703</v>
      </c>
      <c r="E50" s="3"/>
      <c r="F50" s="3"/>
      <c r="G50" s="3">
        <v>60.766343199997202</v>
      </c>
      <c r="H50" s="3">
        <v>60.782585200038703</v>
      </c>
      <c r="I50" s="3">
        <v>61.264500800054499</v>
      </c>
      <c r="J50" s="3">
        <v>61.264500800054499</v>
      </c>
      <c r="K50" s="3">
        <v>61.2977459999966</v>
      </c>
      <c r="L50" s="3">
        <v>61.563851000042597</v>
      </c>
      <c r="M50" s="3">
        <v>62.181799200014197</v>
      </c>
      <c r="N50" s="3" t="s">
        <v>35</v>
      </c>
      <c r="O50" s="3">
        <v>-2.5</v>
      </c>
      <c r="P50" s="3">
        <v>1</v>
      </c>
      <c r="Q50" s="3">
        <v>1</v>
      </c>
      <c r="R50" s="3">
        <v>0.90096669993363299</v>
      </c>
      <c r="S50" s="3">
        <v>833159</v>
      </c>
      <c r="T50" s="3">
        <v>1</v>
      </c>
      <c r="U50" s="3" t="s">
        <v>31</v>
      </c>
      <c r="V50" s="3" t="s">
        <v>32</v>
      </c>
      <c r="W50" s="3"/>
      <c r="X50" s="3" t="s">
        <v>33</v>
      </c>
      <c r="Y50" s="3">
        <v>59.044180997170301</v>
      </c>
      <c r="Z50" s="3" t="s">
        <v>34</v>
      </c>
      <c r="AA50" s="3">
        <f t="shared" si="3"/>
        <v>49</v>
      </c>
      <c r="AB50" s="3">
        <f t="shared" si="4"/>
        <v>1</v>
      </c>
      <c r="AC50" s="3">
        <f t="shared" si="5"/>
        <v>0</v>
      </c>
      <c r="AD50" s="3">
        <f>SUM(AC$2:AC50)</f>
        <v>8</v>
      </c>
    </row>
    <row r="51" spans="1:30" x14ac:dyDescent="0.3">
      <c r="A51" s="3">
        <v>49</v>
      </c>
      <c r="B51" s="3">
        <v>0.5</v>
      </c>
      <c r="C51" s="3">
        <v>2.5</v>
      </c>
      <c r="D51" s="3">
        <v>62.1974570000311</v>
      </c>
      <c r="E51" s="3"/>
      <c r="F51" s="3"/>
      <c r="G51" s="3">
        <v>62.182110700057798</v>
      </c>
      <c r="H51" s="3">
        <v>62.1974570000311</v>
      </c>
      <c r="I51" s="3">
        <v>62.697757099987903</v>
      </c>
      <c r="J51" s="3">
        <v>62.697757099987903</v>
      </c>
      <c r="K51" s="3">
        <v>62.697757099987903</v>
      </c>
      <c r="L51" s="3">
        <v>62.997897700057401</v>
      </c>
      <c r="M51" s="3">
        <v>63.5325363000156</v>
      </c>
      <c r="N51" s="3" t="s">
        <v>30</v>
      </c>
      <c r="O51" s="3">
        <v>2.5</v>
      </c>
      <c r="P51" s="3">
        <v>1</v>
      </c>
      <c r="Q51" s="3">
        <v>1</v>
      </c>
      <c r="R51" s="3">
        <v>0.82563169999048103</v>
      </c>
      <c r="S51" s="3">
        <v>833159</v>
      </c>
      <c r="T51" s="3">
        <v>1</v>
      </c>
      <c r="U51" s="3" t="s">
        <v>31</v>
      </c>
      <c r="V51" s="3" t="s">
        <v>32</v>
      </c>
      <c r="W51" s="3"/>
      <c r="X51" s="3" t="s">
        <v>33</v>
      </c>
      <c r="Y51" s="3">
        <v>59.044180997170301</v>
      </c>
      <c r="Z51" s="3" t="s">
        <v>34</v>
      </c>
      <c r="AA51" s="3">
        <f t="shared" si="3"/>
        <v>50</v>
      </c>
      <c r="AB51" s="3">
        <f t="shared" si="4"/>
        <v>1</v>
      </c>
      <c r="AC51" s="3">
        <f t="shared" si="5"/>
        <v>0</v>
      </c>
      <c r="AD51" s="3">
        <f>SUM(AC$2:AC51)</f>
        <v>8</v>
      </c>
    </row>
    <row r="52" spans="1:30" x14ac:dyDescent="0.3">
      <c r="A52" s="3">
        <v>50</v>
      </c>
      <c r="B52" s="3">
        <v>0.5</v>
      </c>
      <c r="C52" s="3">
        <v>2.5</v>
      </c>
      <c r="D52" s="3">
        <v>63.547117399983101</v>
      </c>
      <c r="E52" s="3"/>
      <c r="F52" s="3"/>
      <c r="G52" s="3">
        <v>63.532829900039403</v>
      </c>
      <c r="H52" s="3">
        <v>63.547117399983101</v>
      </c>
      <c r="I52" s="3">
        <v>64.032593199983197</v>
      </c>
      <c r="J52" s="3">
        <v>64.032593199983197</v>
      </c>
      <c r="K52" s="3">
        <v>64.0482060000068</v>
      </c>
      <c r="L52" s="3">
        <v>64.346959799993797</v>
      </c>
      <c r="M52" s="3">
        <v>64.564094300032593</v>
      </c>
      <c r="N52" s="3" t="s">
        <v>35</v>
      </c>
      <c r="O52" s="3">
        <v>-2.5</v>
      </c>
      <c r="P52" s="3">
        <v>1</v>
      </c>
      <c r="Q52" s="3">
        <v>1</v>
      </c>
      <c r="R52" s="3">
        <v>0.51673279993701704</v>
      </c>
      <c r="S52" s="3">
        <v>833159</v>
      </c>
      <c r="T52" s="3">
        <v>1</v>
      </c>
      <c r="U52" s="3" t="s">
        <v>31</v>
      </c>
      <c r="V52" s="3" t="s">
        <v>32</v>
      </c>
      <c r="W52" s="3"/>
      <c r="X52" s="3" t="s">
        <v>33</v>
      </c>
      <c r="Y52" s="3">
        <v>59.044180997170301</v>
      </c>
      <c r="Z52" s="3" t="s">
        <v>34</v>
      </c>
      <c r="AA52" s="3">
        <f t="shared" si="3"/>
        <v>51</v>
      </c>
      <c r="AB52" s="3">
        <f t="shared" si="4"/>
        <v>1</v>
      </c>
      <c r="AC52" s="3">
        <f t="shared" si="5"/>
        <v>0</v>
      </c>
      <c r="AD52" s="3">
        <f>SUM(AC$2:AC52)</f>
        <v>8</v>
      </c>
    </row>
    <row r="53" spans="1:30" x14ac:dyDescent="0.3">
      <c r="A53" s="3">
        <v>51</v>
      </c>
      <c r="B53" s="3">
        <v>0.5</v>
      </c>
      <c r="C53" s="3">
        <v>2</v>
      </c>
      <c r="D53" s="3">
        <v>64.580013000057093</v>
      </c>
      <c r="E53" s="3"/>
      <c r="F53" s="3"/>
      <c r="G53" s="3">
        <v>64.564294100040598</v>
      </c>
      <c r="H53" s="3">
        <v>64.580013000057093</v>
      </c>
      <c r="I53" s="3">
        <v>65.064568800036795</v>
      </c>
      <c r="J53" s="3">
        <v>65.064568800036795</v>
      </c>
      <c r="K53" s="3">
        <v>65.080504300072803</v>
      </c>
      <c r="L53" s="3">
        <v>65.365837400080594</v>
      </c>
      <c r="M53" s="3">
        <v>65.831944799981997</v>
      </c>
      <c r="N53" s="3" t="s">
        <v>35</v>
      </c>
      <c r="O53" s="3">
        <v>-2</v>
      </c>
      <c r="P53" s="3">
        <v>1</v>
      </c>
      <c r="Q53" s="3">
        <v>1</v>
      </c>
      <c r="R53" s="3">
        <v>0.76111690001562204</v>
      </c>
      <c r="S53" s="3">
        <v>833159</v>
      </c>
      <c r="T53" s="3">
        <v>1</v>
      </c>
      <c r="U53" s="3" t="s">
        <v>31</v>
      </c>
      <c r="V53" s="3" t="s">
        <v>32</v>
      </c>
      <c r="W53" s="3"/>
      <c r="X53" s="3" t="s">
        <v>33</v>
      </c>
      <c r="Y53" s="3">
        <v>59.044180997170301</v>
      </c>
      <c r="Z53" s="3" t="s">
        <v>34</v>
      </c>
      <c r="AA53" s="3">
        <f t="shared" si="3"/>
        <v>52</v>
      </c>
      <c r="AB53" s="3">
        <f t="shared" si="4"/>
        <v>1</v>
      </c>
      <c r="AC53" s="3">
        <f t="shared" si="5"/>
        <v>0</v>
      </c>
      <c r="AD53" s="3">
        <f>SUM(AC$2:AC53)</f>
        <v>8</v>
      </c>
    </row>
    <row r="54" spans="1:30" x14ac:dyDescent="0.3">
      <c r="A54" s="3">
        <v>52</v>
      </c>
      <c r="B54" s="3">
        <v>0.5</v>
      </c>
      <c r="C54" s="3">
        <v>2</v>
      </c>
      <c r="D54" s="3">
        <v>65.847695700009396</v>
      </c>
      <c r="E54" s="3"/>
      <c r="F54" s="3"/>
      <c r="G54" s="3">
        <v>65.832287300028796</v>
      </c>
      <c r="H54" s="3">
        <v>65.847695700009396</v>
      </c>
      <c r="I54" s="3">
        <v>66.332774500013301</v>
      </c>
      <c r="J54" s="3">
        <v>66.332774500013301</v>
      </c>
      <c r="K54" s="3">
        <v>66.348642500001006</v>
      </c>
      <c r="L54" s="3">
        <v>66.631895099999397</v>
      </c>
      <c r="M54" s="3">
        <v>67.014958600048004</v>
      </c>
      <c r="N54" s="3" t="s">
        <v>30</v>
      </c>
      <c r="O54" s="3">
        <v>2</v>
      </c>
      <c r="P54" s="3">
        <v>1</v>
      </c>
      <c r="Q54" s="3">
        <v>1</v>
      </c>
      <c r="R54" s="3">
        <v>0.67960749997291703</v>
      </c>
      <c r="S54" s="3">
        <v>833159</v>
      </c>
      <c r="T54" s="3">
        <v>1</v>
      </c>
      <c r="U54" s="3" t="s">
        <v>31</v>
      </c>
      <c r="V54" s="3" t="s">
        <v>32</v>
      </c>
      <c r="W54" s="3"/>
      <c r="X54" s="3" t="s">
        <v>33</v>
      </c>
      <c r="Y54" s="3">
        <v>59.044180997170301</v>
      </c>
      <c r="Z54" s="3" t="s">
        <v>34</v>
      </c>
      <c r="AA54" s="3">
        <f t="shared" si="3"/>
        <v>53</v>
      </c>
      <c r="AB54" s="3">
        <f t="shared" si="4"/>
        <v>1</v>
      </c>
      <c r="AC54" s="3">
        <f t="shared" si="5"/>
        <v>0</v>
      </c>
      <c r="AD54" s="3">
        <f>SUM(AC$2:AC54)</f>
        <v>8</v>
      </c>
    </row>
    <row r="55" spans="1:30" x14ac:dyDescent="0.3">
      <c r="A55" s="3">
        <v>53</v>
      </c>
      <c r="B55" s="3">
        <v>0.5</v>
      </c>
      <c r="C55" s="3">
        <v>2</v>
      </c>
      <c r="D55" s="3">
        <v>67.031013000057996</v>
      </c>
      <c r="E55" s="3"/>
      <c r="F55" s="3"/>
      <c r="G55" s="3">
        <v>67.015271299984306</v>
      </c>
      <c r="H55" s="3">
        <v>67.031013000057996</v>
      </c>
      <c r="I55" s="3">
        <v>67.514133100048596</v>
      </c>
      <c r="J55" s="3">
        <v>67.514133100048596</v>
      </c>
      <c r="K55" s="3">
        <v>67.530648900079498</v>
      </c>
      <c r="L55" s="3">
        <v>67.814778400002993</v>
      </c>
      <c r="M55" s="3">
        <v>68.099790500011295</v>
      </c>
      <c r="N55" s="3" t="s">
        <v>35</v>
      </c>
      <c r="O55" s="3">
        <v>-2</v>
      </c>
      <c r="P55" s="3">
        <v>1</v>
      </c>
      <c r="Q55" s="3">
        <v>1</v>
      </c>
      <c r="R55" s="3">
        <v>0.57822900009341505</v>
      </c>
      <c r="S55" s="3">
        <v>833159</v>
      </c>
      <c r="T55" s="3">
        <v>1</v>
      </c>
      <c r="U55" s="3" t="s">
        <v>31</v>
      </c>
      <c r="V55" s="3" t="s">
        <v>32</v>
      </c>
      <c r="W55" s="3"/>
      <c r="X55" s="3" t="s">
        <v>33</v>
      </c>
      <c r="Y55" s="3">
        <v>59.044180997170301</v>
      </c>
      <c r="Z55" s="3" t="s">
        <v>34</v>
      </c>
      <c r="AA55" s="3">
        <f t="shared" si="3"/>
        <v>54</v>
      </c>
      <c r="AB55" s="3">
        <f t="shared" si="4"/>
        <v>1</v>
      </c>
      <c r="AC55" s="3">
        <f t="shared" si="5"/>
        <v>0</v>
      </c>
      <c r="AD55" s="3">
        <f>SUM(AC$2:AC55)</f>
        <v>8</v>
      </c>
    </row>
    <row r="56" spans="1:30" x14ac:dyDescent="0.3">
      <c r="A56" s="3">
        <v>54</v>
      </c>
      <c r="B56" s="3">
        <v>0.5</v>
      </c>
      <c r="C56" s="3">
        <v>1.5</v>
      </c>
      <c r="D56" s="3">
        <v>68.114675900083995</v>
      </c>
      <c r="E56" s="3"/>
      <c r="F56" s="3"/>
      <c r="G56" s="3">
        <v>68.100119800073998</v>
      </c>
      <c r="H56" s="3">
        <v>68.114675900083995</v>
      </c>
      <c r="I56" s="3">
        <v>68.597526900004596</v>
      </c>
      <c r="J56" s="3">
        <v>68.597526900004596</v>
      </c>
      <c r="K56" s="3">
        <v>68.614042600034693</v>
      </c>
      <c r="L56" s="3">
        <v>68.898600800079294</v>
      </c>
      <c r="M56" s="3">
        <v>69.133573499973906</v>
      </c>
      <c r="N56" s="3" t="s">
        <v>30</v>
      </c>
      <c r="O56" s="3">
        <v>1.5</v>
      </c>
      <c r="P56" s="3">
        <v>1</v>
      </c>
      <c r="Q56" s="3">
        <v>1</v>
      </c>
      <c r="R56" s="3">
        <v>0.52251899999100704</v>
      </c>
      <c r="S56" s="3">
        <v>833159</v>
      </c>
      <c r="T56" s="3">
        <v>1</v>
      </c>
      <c r="U56" s="3" t="s">
        <v>31</v>
      </c>
      <c r="V56" s="3" t="s">
        <v>32</v>
      </c>
      <c r="W56" s="3"/>
      <c r="X56" s="3" t="s">
        <v>33</v>
      </c>
      <c r="Y56" s="3">
        <v>59.044180997170301</v>
      </c>
      <c r="Z56" s="3" t="s">
        <v>34</v>
      </c>
      <c r="AA56" s="3">
        <f t="shared" si="3"/>
        <v>55</v>
      </c>
      <c r="AB56" s="3">
        <f t="shared" si="4"/>
        <v>1</v>
      </c>
      <c r="AC56" s="3">
        <f t="shared" si="5"/>
        <v>0</v>
      </c>
      <c r="AD56" s="3">
        <f>SUM(AC$2:AC56)</f>
        <v>8</v>
      </c>
    </row>
    <row r="57" spans="1:30" x14ac:dyDescent="0.3">
      <c r="A57" s="3">
        <v>55</v>
      </c>
      <c r="B57" s="3">
        <v>0.5</v>
      </c>
      <c r="C57" s="3">
        <v>1.5</v>
      </c>
      <c r="D57" s="3">
        <v>69.149544400046594</v>
      </c>
      <c r="E57" s="3"/>
      <c r="F57" s="3"/>
      <c r="G57" s="3">
        <v>69.134052300010794</v>
      </c>
      <c r="H57" s="3">
        <v>69.149544400046594</v>
      </c>
      <c r="I57" s="3">
        <v>69.647589200059898</v>
      </c>
      <c r="J57" s="3">
        <v>69.647589200059898</v>
      </c>
      <c r="K57" s="3">
        <v>69.664484800072401</v>
      </c>
      <c r="L57" s="3">
        <v>69.948156900005401</v>
      </c>
      <c r="M57" s="3">
        <v>70.016644300077999</v>
      </c>
      <c r="N57" s="3" t="s">
        <v>30</v>
      </c>
      <c r="O57" s="3">
        <v>1.5</v>
      </c>
      <c r="P57" s="3">
        <v>0</v>
      </c>
      <c r="Q57" s="3">
        <v>0</v>
      </c>
      <c r="R57" s="3">
        <v>0.36115729995071899</v>
      </c>
      <c r="S57" s="3">
        <v>833159</v>
      </c>
      <c r="T57" s="3">
        <v>1</v>
      </c>
      <c r="U57" s="3" t="s">
        <v>31</v>
      </c>
      <c r="V57" s="3" t="s">
        <v>32</v>
      </c>
      <c r="W57" s="3"/>
      <c r="X57" s="3" t="s">
        <v>33</v>
      </c>
      <c r="Y57" s="3">
        <v>59.044180997170301</v>
      </c>
      <c r="Z57" s="3" t="s">
        <v>34</v>
      </c>
      <c r="AA57" s="3">
        <f t="shared" si="3"/>
        <v>56</v>
      </c>
      <c r="AB57" s="3">
        <f t="shared" si="4"/>
        <v>1</v>
      </c>
      <c r="AC57" s="3">
        <f t="shared" si="5"/>
        <v>1</v>
      </c>
      <c r="AD57" s="3">
        <f>SUM(AC$2:AC57)</f>
        <v>9</v>
      </c>
    </row>
    <row r="58" spans="1:30" x14ac:dyDescent="0.3">
      <c r="A58" s="3">
        <v>56</v>
      </c>
      <c r="B58" s="3">
        <v>0.5</v>
      </c>
      <c r="C58" s="3">
        <v>2</v>
      </c>
      <c r="D58" s="3">
        <v>70.030872300034403</v>
      </c>
      <c r="E58" s="3"/>
      <c r="F58" s="3"/>
      <c r="G58" s="3">
        <v>70.017081000027304</v>
      </c>
      <c r="H58" s="3">
        <v>70.030872300034403</v>
      </c>
      <c r="I58" s="3">
        <v>70.532721900031902</v>
      </c>
      <c r="J58" s="3">
        <v>70.532721900031902</v>
      </c>
      <c r="K58" s="3">
        <v>70.532721900031902</v>
      </c>
      <c r="L58" s="3">
        <v>70.8502717000665</v>
      </c>
      <c r="M58" s="3">
        <v>71.363736500032303</v>
      </c>
      <c r="N58" s="3" t="s">
        <v>30</v>
      </c>
      <c r="O58" s="3">
        <v>2</v>
      </c>
      <c r="P58" s="3">
        <v>1</v>
      </c>
      <c r="Q58" s="3">
        <v>1</v>
      </c>
      <c r="R58" s="3">
        <v>0.82604900002479598</v>
      </c>
      <c r="S58" s="3">
        <v>833159</v>
      </c>
      <c r="T58" s="3">
        <v>1</v>
      </c>
      <c r="U58" s="3" t="s">
        <v>31</v>
      </c>
      <c r="V58" s="3" t="s">
        <v>32</v>
      </c>
      <c r="W58" s="3"/>
      <c r="X58" s="3" t="s">
        <v>33</v>
      </c>
      <c r="Y58" s="3">
        <v>59.044180997170301</v>
      </c>
      <c r="Z58" s="3" t="s">
        <v>34</v>
      </c>
      <c r="AA58" s="3">
        <f t="shared" si="3"/>
        <v>57</v>
      </c>
      <c r="AB58" s="3">
        <f t="shared" si="4"/>
        <v>0</v>
      </c>
      <c r="AC58" s="3">
        <f t="shared" si="5"/>
        <v>0</v>
      </c>
      <c r="AD58" s="3">
        <f>SUM(AC$2:AC58)</f>
        <v>9</v>
      </c>
    </row>
    <row r="59" spans="1:30" x14ac:dyDescent="0.3">
      <c r="A59" s="3">
        <v>57</v>
      </c>
      <c r="B59" s="3">
        <v>0.5</v>
      </c>
      <c r="C59" s="3">
        <v>2</v>
      </c>
      <c r="D59" s="3">
        <v>71.379963600076707</v>
      </c>
      <c r="E59" s="3"/>
      <c r="F59" s="3"/>
      <c r="G59" s="3">
        <v>71.363909300067505</v>
      </c>
      <c r="H59" s="3">
        <v>71.379963600076707</v>
      </c>
      <c r="I59" s="3">
        <v>71.864726100000595</v>
      </c>
      <c r="J59" s="3">
        <v>71.864726100000595</v>
      </c>
      <c r="K59" s="3">
        <v>71.882419200032004</v>
      </c>
      <c r="L59" s="3">
        <v>72.165933700045599</v>
      </c>
      <c r="M59" s="3">
        <v>72.434776799986096</v>
      </c>
      <c r="N59" s="3" t="s">
        <v>35</v>
      </c>
      <c r="O59" s="3">
        <v>-2</v>
      </c>
      <c r="P59" s="3">
        <v>1</v>
      </c>
      <c r="Q59" s="3">
        <v>1</v>
      </c>
      <c r="R59" s="3">
        <v>0.55411009991075799</v>
      </c>
      <c r="S59" s="3">
        <v>833159</v>
      </c>
      <c r="T59" s="3">
        <v>1</v>
      </c>
      <c r="U59" s="3" t="s">
        <v>31</v>
      </c>
      <c r="V59" s="3" t="s">
        <v>32</v>
      </c>
      <c r="W59" s="3"/>
      <c r="X59" s="3" t="s">
        <v>33</v>
      </c>
      <c r="Y59" s="3">
        <v>59.044180997170301</v>
      </c>
      <c r="Z59" s="3" t="s">
        <v>34</v>
      </c>
      <c r="AA59" s="3">
        <f t="shared" si="3"/>
        <v>58</v>
      </c>
      <c r="AB59" s="3">
        <f t="shared" si="4"/>
        <v>1</v>
      </c>
      <c r="AC59" s="3">
        <f t="shared" si="5"/>
        <v>0</v>
      </c>
      <c r="AD59" s="3">
        <f>SUM(AC$2:AC59)</f>
        <v>9</v>
      </c>
    </row>
    <row r="60" spans="1:30" x14ac:dyDescent="0.3">
      <c r="A60" s="3">
        <v>58</v>
      </c>
      <c r="B60" s="3">
        <v>0.5</v>
      </c>
      <c r="C60" s="3">
        <v>2</v>
      </c>
      <c r="D60" s="3">
        <v>72.449397700023795</v>
      </c>
      <c r="E60" s="3"/>
      <c r="F60" s="3"/>
      <c r="G60" s="3">
        <v>72.435346200014493</v>
      </c>
      <c r="H60" s="3">
        <v>72.449397700023795</v>
      </c>
      <c r="I60" s="3">
        <v>72.949436100083403</v>
      </c>
      <c r="J60" s="3">
        <v>72.949436100083403</v>
      </c>
      <c r="K60" s="3">
        <v>72.949436100083403</v>
      </c>
      <c r="L60" s="3">
        <v>73.2482032000553</v>
      </c>
      <c r="M60" s="3">
        <v>73.550518700038097</v>
      </c>
      <c r="N60" s="3" t="s">
        <v>35</v>
      </c>
      <c r="O60" s="3">
        <v>-2</v>
      </c>
      <c r="P60" s="3">
        <v>1</v>
      </c>
      <c r="Q60" s="3">
        <v>1</v>
      </c>
      <c r="R60" s="3">
        <v>0.593228799989447</v>
      </c>
      <c r="S60" s="3">
        <v>833159</v>
      </c>
      <c r="T60" s="3">
        <v>1</v>
      </c>
      <c r="U60" s="3" t="s">
        <v>31</v>
      </c>
      <c r="V60" s="3" t="s">
        <v>32</v>
      </c>
      <c r="W60" s="3"/>
      <c r="X60" s="3" t="s">
        <v>33</v>
      </c>
      <c r="Y60" s="3">
        <v>59.044180997170301</v>
      </c>
      <c r="Z60" s="3" t="s">
        <v>34</v>
      </c>
      <c r="AA60" s="3">
        <f t="shared" si="3"/>
        <v>59</v>
      </c>
      <c r="AB60" s="3">
        <f t="shared" si="4"/>
        <v>1</v>
      </c>
      <c r="AC60" s="3">
        <f t="shared" si="5"/>
        <v>0</v>
      </c>
      <c r="AD60" s="3">
        <f>SUM(AC$2:AC60)</f>
        <v>9</v>
      </c>
    </row>
    <row r="61" spans="1:30" x14ac:dyDescent="0.3">
      <c r="A61" s="3">
        <v>59</v>
      </c>
      <c r="B61" s="3">
        <v>0.5</v>
      </c>
      <c r="C61" s="3">
        <v>1.5</v>
      </c>
      <c r="D61" s="3">
        <v>73.566140000009895</v>
      </c>
      <c r="E61" s="3"/>
      <c r="F61" s="3"/>
      <c r="G61" s="3">
        <v>73.551080100005507</v>
      </c>
      <c r="H61" s="3">
        <v>73.566140000009895</v>
      </c>
      <c r="I61" s="3">
        <v>74.065630599972806</v>
      </c>
      <c r="J61" s="3">
        <v>74.065630599972806</v>
      </c>
      <c r="K61" s="3">
        <v>74.065630599972806</v>
      </c>
      <c r="L61" s="3">
        <v>74.366860800073496</v>
      </c>
      <c r="M61" s="3">
        <v>74.831117000081605</v>
      </c>
      <c r="N61" s="3" t="s">
        <v>30</v>
      </c>
      <c r="O61" s="3">
        <v>1.5</v>
      </c>
      <c r="P61" s="3">
        <v>1</v>
      </c>
      <c r="Q61" s="3">
        <v>1</v>
      </c>
      <c r="R61" s="3">
        <v>0.75712699990253896</v>
      </c>
      <c r="S61" s="3">
        <v>833159</v>
      </c>
      <c r="T61" s="3">
        <v>1</v>
      </c>
      <c r="U61" s="3" t="s">
        <v>31</v>
      </c>
      <c r="V61" s="3" t="s">
        <v>32</v>
      </c>
      <c r="W61" s="3"/>
      <c r="X61" s="3" t="s">
        <v>33</v>
      </c>
      <c r="Y61" s="3">
        <v>59.044180997170301</v>
      </c>
      <c r="Z61" s="3" t="s">
        <v>34</v>
      </c>
      <c r="AA61" s="3">
        <f t="shared" si="3"/>
        <v>60</v>
      </c>
      <c r="AB61" s="3">
        <f t="shared" si="4"/>
        <v>1</v>
      </c>
      <c r="AC61" s="3">
        <f t="shared" si="5"/>
        <v>0</v>
      </c>
      <c r="AD61" s="3">
        <f>SUM(AC$2:AC61)</f>
        <v>9</v>
      </c>
    </row>
    <row r="62" spans="1:30" x14ac:dyDescent="0.3">
      <c r="A62" s="3">
        <v>60</v>
      </c>
      <c r="B62" s="3">
        <v>0.5</v>
      </c>
      <c r="C62" s="3">
        <v>1.5</v>
      </c>
      <c r="D62" s="3">
        <v>74.848125200020206</v>
      </c>
      <c r="E62" s="3"/>
      <c r="F62" s="3"/>
      <c r="G62" s="3">
        <v>74.831377799972003</v>
      </c>
      <c r="H62" s="3">
        <v>74.848125200020206</v>
      </c>
      <c r="I62" s="3">
        <v>75.3324276000494</v>
      </c>
      <c r="J62" s="3">
        <v>75.3324276000494</v>
      </c>
      <c r="K62" s="3">
        <v>75.347645099973306</v>
      </c>
      <c r="L62" s="3">
        <v>75.649341000011205</v>
      </c>
      <c r="M62" s="3">
        <v>75.784288399969199</v>
      </c>
      <c r="N62" s="3" t="s">
        <v>30</v>
      </c>
      <c r="O62" s="3">
        <v>1.5</v>
      </c>
      <c r="P62" s="3">
        <v>0</v>
      </c>
      <c r="Q62" s="3">
        <v>0</v>
      </c>
      <c r="R62" s="3">
        <v>0.44792900001630198</v>
      </c>
      <c r="S62" s="3">
        <v>833159</v>
      </c>
      <c r="T62" s="3">
        <v>1</v>
      </c>
      <c r="U62" s="3" t="s">
        <v>31</v>
      </c>
      <c r="V62" s="3" t="s">
        <v>32</v>
      </c>
      <c r="W62" s="3"/>
      <c r="X62" s="3" t="s">
        <v>33</v>
      </c>
      <c r="Y62" s="3">
        <v>59.044180997170301</v>
      </c>
      <c r="Z62" s="3" t="s">
        <v>34</v>
      </c>
      <c r="AA62" s="3">
        <f t="shared" si="3"/>
        <v>61</v>
      </c>
      <c r="AB62" s="3">
        <f t="shared" si="4"/>
        <v>1</v>
      </c>
      <c r="AC62" s="3">
        <f t="shared" si="5"/>
        <v>1</v>
      </c>
      <c r="AD62" s="3">
        <f>SUM(AC$2:AC62)</f>
        <v>10</v>
      </c>
    </row>
    <row r="63" spans="1:30" x14ac:dyDescent="0.3">
      <c r="A63" s="3">
        <v>61</v>
      </c>
      <c r="B63" s="3">
        <v>0.5</v>
      </c>
      <c r="C63" s="3">
        <v>2</v>
      </c>
      <c r="D63" s="3">
        <v>75.797677200054807</v>
      </c>
      <c r="E63" s="3"/>
      <c r="F63" s="3"/>
      <c r="G63" s="3">
        <v>75.784921900019995</v>
      </c>
      <c r="H63" s="3">
        <v>75.797677200054807</v>
      </c>
      <c r="I63" s="3">
        <v>76.297957999980994</v>
      </c>
      <c r="J63" s="3">
        <v>76.297957999980994</v>
      </c>
      <c r="K63" s="3">
        <v>76.297957999980994</v>
      </c>
      <c r="L63" s="3">
        <v>76.599349000025498</v>
      </c>
      <c r="M63" s="3">
        <v>76.999022600008203</v>
      </c>
      <c r="N63" s="3" t="s">
        <v>30</v>
      </c>
      <c r="O63" s="3">
        <v>2</v>
      </c>
      <c r="P63" s="3">
        <v>0</v>
      </c>
      <c r="Q63" s="3">
        <v>0</v>
      </c>
      <c r="R63" s="3">
        <v>0.69825040001887795</v>
      </c>
      <c r="S63" s="3">
        <v>833159</v>
      </c>
      <c r="T63" s="3">
        <v>1</v>
      </c>
      <c r="U63" s="3" t="s">
        <v>31</v>
      </c>
      <c r="V63" s="3" t="s">
        <v>32</v>
      </c>
      <c r="W63" s="3"/>
      <c r="X63" s="3" t="s">
        <v>33</v>
      </c>
      <c r="Y63" s="3">
        <v>59.044180997170301</v>
      </c>
      <c r="Z63" s="3" t="s">
        <v>34</v>
      </c>
      <c r="AA63" s="3">
        <f t="shared" si="3"/>
        <v>62</v>
      </c>
      <c r="AB63" s="3">
        <f t="shared" si="4"/>
        <v>0</v>
      </c>
      <c r="AC63" s="3">
        <f t="shared" si="5"/>
        <v>0</v>
      </c>
      <c r="AD63" s="3">
        <f>SUM(AC$2:AC63)</f>
        <v>10</v>
      </c>
    </row>
    <row r="64" spans="1:30" x14ac:dyDescent="0.3">
      <c r="A64" s="3">
        <v>62</v>
      </c>
      <c r="B64" s="3">
        <v>0.5</v>
      </c>
      <c r="C64" s="3">
        <v>2.5</v>
      </c>
      <c r="D64" s="3">
        <v>77.014426700072406</v>
      </c>
      <c r="E64" s="3"/>
      <c r="F64" s="3"/>
      <c r="G64" s="3">
        <v>76.999365700059599</v>
      </c>
      <c r="H64" s="3">
        <v>77.014426700072406</v>
      </c>
      <c r="I64" s="3">
        <v>77.498556500067906</v>
      </c>
      <c r="J64" s="3">
        <v>77.498556500067906</v>
      </c>
      <c r="K64" s="3">
        <v>77.514459499972901</v>
      </c>
      <c r="L64" s="3">
        <v>77.8001214000396</v>
      </c>
      <c r="M64" s="3">
        <v>78.082801999989897</v>
      </c>
      <c r="N64" s="3" t="s">
        <v>35</v>
      </c>
      <c r="O64" s="3">
        <v>-2.5</v>
      </c>
      <c r="P64" s="3">
        <v>1</v>
      </c>
      <c r="Q64" s="3">
        <v>1</v>
      </c>
      <c r="R64" s="3">
        <v>0.58155110001098398</v>
      </c>
      <c r="S64" s="3">
        <v>833159</v>
      </c>
      <c r="T64" s="3">
        <v>1</v>
      </c>
      <c r="U64" s="3" t="s">
        <v>31</v>
      </c>
      <c r="V64" s="3" t="s">
        <v>32</v>
      </c>
      <c r="W64" s="3"/>
      <c r="X64" s="3" t="s">
        <v>33</v>
      </c>
      <c r="Y64" s="3">
        <v>59.044180997170301</v>
      </c>
      <c r="Z64" s="3" t="s">
        <v>34</v>
      </c>
      <c r="AA64" s="3">
        <f t="shared" si="3"/>
        <v>63</v>
      </c>
      <c r="AB64" s="3">
        <f t="shared" si="4"/>
        <v>0</v>
      </c>
      <c r="AC64" s="3">
        <f t="shared" si="5"/>
        <v>0</v>
      </c>
      <c r="AD64" s="3">
        <f>SUM(AC$2:AC64)</f>
        <v>10</v>
      </c>
    </row>
    <row r="65" spans="1:30" x14ac:dyDescent="0.3">
      <c r="A65" s="3">
        <v>63</v>
      </c>
      <c r="B65" s="3">
        <v>0.5</v>
      </c>
      <c r="C65" s="3">
        <v>2.5</v>
      </c>
      <c r="D65" s="3">
        <v>78.098935600020894</v>
      </c>
      <c r="E65" s="3"/>
      <c r="F65" s="3"/>
      <c r="G65" s="3">
        <v>78.0832639000146</v>
      </c>
      <c r="H65" s="3">
        <v>78.098935600020894</v>
      </c>
      <c r="I65" s="3">
        <v>78.582141500082798</v>
      </c>
      <c r="J65" s="3">
        <v>78.582141500082798</v>
      </c>
      <c r="K65" s="3">
        <v>78.5977226999821</v>
      </c>
      <c r="L65" s="3">
        <v>78.881052799988495</v>
      </c>
      <c r="M65" s="3">
        <v>79.166064199991496</v>
      </c>
      <c r="N65" s="3" t="s">
        <v>35</v>
      </c>
      <c r="O65" s="3">
        <v>-2.5</v>
      </c>
      <c r="P65" s="3">
        <v>1</v>
      </c>
      <c r="Q65" s="3">
        <v>1</v>
      </c>
      <c r="R65" s="3">
        <v>0.57527379994280603</v>
      </c>
      <c r="S65" s="3">
        <v>833159</v>
      </c>
      <c r="T65" s="3">
        <v>1</v>
      </c>
      <c r="U65" s="3" t="s">
        <v>31</v>
      </c>
      <c r="V65" s="3" t="s">
        <v>32</v>
      </c>
      <c r="W65" s="3"/>
      <c r="X65" s="3" t="s">
        <v>33</v>
      </c>
      <c r="Y65" s="3">
        <v>59.044180997170301</v>
      </c>
      <c r="Z65" s="3" t="s">
        <v>34</v>
      </c>
      <c r="AA65" s="3">
        <f t="shared" si="3"/>
        <v>64</v>
      </c>
      <c r="AB65" s="3">
        <f t="shared" si="4"/>
        <v>1</v>
      </c>
      <c r="AC65" s="3">
        <f t="shared" si="5"/>
        <v>0</v>
      </c>
      <c r="AD65" s="3">
        <f>SUM(AC$2:AC65)</f>
        <v>10</v>
      </c>
    </row>
    <row r="66" spans="1:30" x14ac:dyDescent="0.3">
      <c r="A66" s="3">
        <v>64</v>
      </c>
      <c r="B66" s="3">
        <v>0.5</v>
      </c>
      <c r="C66" s="3">
        <v>2.5</v>
      </c>
      <c r="D66" s="3">
        <v>79.181143700028798</v>
      </c>
      <c r="E66" s="3"/>
      <c r="F66" s="3"/>
      <c r="G66" s="3">
        <v>79.166417000000394</v>
      </c>
      <c r="H66" s="3">
        <v>79.181143700028798</v>
      </c>
      <c r="I66" s="3">
        <v>79.681715500075398</v>
      </c>
      <c r="J66" s="3">
        <v>79.681715500075398</v>
      </c>
      <c r="K66" s="3">
        <v>79.681715500075398</v>
      </c>
      <c r="L66" s="3">
        <v>79.982249799999394</v>
      </c>
      <c r="M66" s="3">
        <v>80.131580000044806</v>
      </c>
      <c r="N66" s="3" t="s">
        <v>35</v>
      </c>
      <c r="O66" s="3">
        <v>-2.5</v>
      </c>
      <c r="P66" s="3">
        <v>1</v>
      </c>
      <c r="Q66" s="3">
        <v>1</v>
      </c>
      <c r="R66" s="3">
        <v>0.43288380000740301</v>
      </c>
      <c r="S66" s="3">
        <v>833159</v>
      </c>
      <c r="T66" s="3">
        <v>1</v>
      </c>
      <c r="U66" s="3" t="s">
        <v>31</v>
      </c>
      <c r="V66" s="3" t="s">
        <v>32</v>
      </c>
      <c r="W66" s="3"/>
      <c r="X66" s="3" t="s">
        <v>33</v>
      </c>
      <c r="Y66" s="3">
        <v>59.044180997170301</v>
      </c>
      <c r="Z66" s="3" t="s">
        <v>34</v>
      </c>
      <c r="AA66" s="3">
        <f t="shared" ref="AA66:AA101" si="6">A66+1</f>
        <v>65</v>
      </c>
      <c r="AB66" s="3">
        <f t="shared" si="4"/>
        <v>1</v>
      </c>
      <c r="AC66" s="3">
        <f t="shared" si="5"/>
        <v>0</v>
      </c>
      <c r="AD66" s="3">
        <f>SUM(AC$2:AC66)</f>
        <v>10</v>
      </c>
    </row>
    <row r="67" spans="1:30" x14ac:dyDescent="0.3">
      <c r="A67" s="3">
        <v>65</v>
      </c>
      <c r="B67" s="3">
        <v>0.5</v>
      </c>
      <c r="C67" s="3">
        <v>2</v>
      </c>
      <c r="D67" s="3">
        <v>80.149026400060393</v>
      </c>
      <c r="E67" s="3"/>
      <c r="F67" s="3"/>
      <c r="G67" s="3">
        <v>80.131885400041895</v>
      </c>
      <c r="H67" s="3">
        <v>80.149026400060393</v>
      </c>
      <c r="I67" s="3">
        <v>80.632036100025303</v>
      </c>
      <c r="J67" s="3">
        <v>80.632036100025303</v>
      </c>
      <c r="K67" s="3">
        <v>80.648391299997499</v>
      </c>
      <c r="L67" s="3">
        <v>80.933552399976193</v>
      </c>
      <c r="M67" s="3">
        <v>80.965135100064799</v>
      </c>
      <c r="N67" s="3" t="s">
        <v>35</v>
      </c>
      <c r="O67" s="3">
        <v>-2</v>
      </c>
      <c r="P67" s="3">
        <v>1</v>
      </c>
      <c r="Q67" s="3">
        <v>1</v>
      </c>
      <c r="R67" s="3">
        <v>0.33183729997836098</v>
      </c>
      <c r="S67" s="3">
        <v>833159</v>
      </c>
      <c r="T67" s="3">
        <v>1</v>
      </c>
      <c r="U67" s="3" t="s">
        <v>31</v>
      </c>
      <c r="V67" s="3" t="s">
        <v>32</v>
      </c>
      <c r="W67" s="3"/>
      <c r="X67" s="3" t="s">
        <v>33</v>
      </c>
      <c r="Y67" s="3">
        <v>59.044180997170301</v>
      </c>
      <c r="Z67" s="3" t="s">
        <v>34</v>
      </c>
      <c r="AA67" s="3">
        <f t="shared" si="6"/>
        <v>66</v>
      </c>
      <c r="AB67" s="3">
        <f t="shared" ref="AB67:AB101" si="7">Q66</f>
        <v>1</v>
      </c>
      <c r="AC67" s="3">
        <f t="shared" ref="AC67:AC98" si="8">IF(AND(AB67=1,Q67=0),1,0)</f>
        <v>0</v>
      </c>
      <c r="AD67" s="3">
        <f>SUM(AC$2:AC67)</f>
        <v>10</v>
      </c>
    </row>
    <row r="68" spans="1:30" x14ac:dyDescent="0.3">
      <c r="A68" s="3">
        <v>66</v>
      </c>
      <c r="B68" s="3">
        <v>0.5</v>
      </c>
      <c r="C68" s="3">
        <v>2</v>
      </c>
      <c r="D68" s="3">
        <v>80.980797800002605</v>
      </c>
      <c r="E68" s="3"/>
      <c r="F68" s="3"/>
      <c r="G68" s="3">
        <v>80.965471400064402</v>
      </c>
      <c r="H68" s="3">
        <v>80.980797800002605</v>
      </c>
      <c r="I68" s="3">
        <v>81.466189600061597</v>
      </c>
      <c r="J68" s="3">
        <v>81.466189600061597</v>
      </c>
      <c r="K68" s="3">
        <v>81.482860299991401</v>
      </c>
      <c r="L68" s="3">
        <v>81.766149700037204</v>
      </c>
      <c r="M68" s="3">
        <v>81.850854200078203</v>
      </c>
      <c r="N68" s="3" t="s">
        <v>35</v>
      </c>
      <c r="O68" s="3">
        <v>-2</v>
      </c>
      <c r="P68" s="3">
        <v>1</v>
      </c>
      <c r="Q68" s="3">
        <v>1</v>
      </c>
      <c r="R68" s="3">
        <v>0.38343540008645499</v>
      </c>
      <c r="S68" s="3">
        <v>833159</v>
      </c>
      <c r="T68" s="3">
        <v>1</v>
      </c>
      <c r="U68" s="3" t="s">
        <v>31</v>
      </c>
      <c r="V68" s="3" t="s">
        <v>32</v>
      </c>
      <c r="W68" s="3"/>
      <c r="X68" s="3" t="s">
        <v>33</v>
      </c>
      <c r="Y68" s="3">
        <v>59.044180997170301</v>
      </c>
      <c r="Z68" s="3" t="s">
        <v>34</v>
      </c>
      <c r="AA68" s="3">
        <f t="shared" si="6"/>
        <v>67</v>
      </c>
      <c r="AB68" s="3">
        <f t="shared" si="7"/>
        <v>1</v>
      </c>
      <c r="AC68" s="3">
        <f t="shared" si="8"/>
        <v>0</v>
      </c>
      <c r="AD68" s="3">
        <f>SUM(AC$2:AC68)</f>
        <v>10</v>
      </c>
    </row>
    <row r="69" spans="1:30" x14ac:dyDescent="0.3">
      <c r="A69" s="3">
        <v>67</v>
      </c>
      <c r="B69" s="3">
        <v>0.5</v>
      </c>
      <c r="C69" s="3">
        <v>2</v>
      </c>
      <c r="D69" s="3">
        <v>81.864272900042096</v>
      </c>
      <c r="E69" s="3"/>
      <c r="F69" s="3"/>
      <c r="G69" s="3">
        <v>81.851523900055298</v>
      </c>
      <c r="H69" s="3">
        <v>81.864272900042096</v>
      </c>
      <c r="I69" s="3">
        <v>82.365591600071596</v>
      </c>
      <c r="J69" s="3">
        <v>82.365591600071596</v>
      </c>
      <c r="K69" s="3">
        <v>82.365591600071596</v>
      </c>
      <c r="L69" s="3">
        <v>82.682599200052195</v>
      </c>
      <c r="M69" s="3">
        <v>82.698057600064203</v>
      </c>
      <c r="N69" s="3" t="s">
        <v>30</v>
      </c>
      <c r="O69" s="3">
        <v>2</v>
      </c>
      <c r="P69" s="3">
        <v>0</v>
      </c>
      <c r="Q69" s="3">
        <v>0</v>
      </c>
      <c r="R69" s="3">
        <v>0.33018189994618302</v>
      </c>
      <c r="S69" s="3">
        <v>833159</v>
      </c>
      <c r="T69" s="3">
        <v>1</v>
      </c>
      <c r="U69" s="3" t="s">
        <v>31</v>
      </c>
      <c r="V69" s="3" t="s">
        <v>32</v>
      </c>
      <c r="W69" s="3"/>
      <c r="X69" s="3" t="s">
        <v>33</v>
      </c>
      <c r="Y69" s="3">
        <v>59.044180997170301</v>
      </c>
      <c r="Z69" s="3" t="s">
        <v>34</v>
      </c>
      <c r="AA69" s="3">
        <f t="shared" si="6"/>
        <v>68</v>
      </c>
      <c r="AB69" s="3">
        <f t="shared" si="7"/>
        <v>1</v>
      </c>
      <c r="AC69" s="3">
        <f t="shared" si="8"/>
        <v>1</v>
      </c>
      <c r="AD69" s="3">
        <f>SUM(AC$2:AC69)</f>
        <v>11</v>
      </c>
    </row>
    <row r="70" spans="1:30" x14ac:dyDescent="0.3">
      <c r="A70" s="3">
        <v>68</v>
      </c>
      <c r="B70" s="3">
        <v>0.5</v>
      </c>
      <c r="C70" s="3">
        <v>2.5</v>
      </c>
      <c r="D70" s="3">
        <v>82.714295500074499</v>
      </c>
      <c r="E70" s="3"/>
      <c r="F70" s="3"/>
      <c r="G70" s="3">
        <v>82.698308199993306</v>
      </c>
      <c r="H70" s="3">
        <v>82.714295500074499</v>
      </c>
      <c r="I70" s="3">
        <v>83.197699000011198</v>
      </c>
      <c r="J70" s="3">
        <v>83.197699000011198</v>
      </c>
      <c r="K70" s="3">
        <v>83.2144115000265</v>
      </c>
      <c r="L70" s="3">
        <v>83.497813699999796</v>
      </c>
      <c r="M70" s="3">
        <v>83.848754900041996</v>
      </c>
      <c r="N70" s="3" t="s">
        <v>35</v>
      </c>
      <c r="O70" s="3">
        <v>-2.5</v>
      </c>
      <c r="P70" s="3">
        <v>1</v>
      </c>
      <c r="Q70" s="3">
        <v>1</v>
      </c>
      <c r="R70" s="3">
        <v>0.65024770004674803</v>
      </c>
      <c r="S70" s="3">
        <v>833159</v>
      </c>
      <c r="T70" s="3">
        <v>1</v>
      </c>
      <c r="U70" s="3" t="s">
        <v>31</v>
      </c>
      <c r="V70" s="3" t="s">
        <v>32</v>
      </c>
      <c r="W70" s="3"/>
      <c r="X70" s="3" t="s">
        <v>33</v>
      </c>
      <c r="Y70" s="3">
        <v>59.044180997170301</v>
      </c>
      <c r="Z70" s="3" t="s">
        <v>34</v>
      </c>
      <c r="AA70" s="3">
        <f t="shared" si="6"/>
        <v>69</v>
      </c>
      <c r="AB70" s="3">
        <f t="shared" si="7"/>
        <v>0</v>
      </c>
      <c r="AC70" s="3">
        <f t="shared" si="8"/>
        <v>0</v>
      </c>
      <c r="AD70" s="3">
        <f>SUM(AC$2:AC70)</f>
        <v>11</v>
      </c>
    </row>
    <row r="71" spans="1:30" x14ac:dyDescent="0.3">
      <c r="A71" s="3">
        <v>69</v>
      </c>
      <c r="B71" s="3">
        <v>0.5</v>
      </c>
      <c r="C71" s="3">
        <v>2.5</v>
      </c>
      <c r="D71" s="3">
        <v>83.865824399981705</v>
      </c>
      <c r="E71" s="3"/>
      <c r="F71" s="3"/>
      <c r="G71" s="3">
        <v>83.849140100064702</v>
      </c>
      <c r="H71" s="3">
        <v>83.865824399981705</v>
      </c>
      <c r="I71" s="3">
        <v>84.363246900029495</v>
      </c>
      <c r="J71" s="3">
        <v>84.363246900029495</v>
      </c>
      <c r="K71" s="3">
        <v>84.380247100023595</v>
      </c>
      <c r="L71" s="3">
        <v>84.666389600024601</v>
      </c>
      <c r="M71" s="3">
        <v>84.832975700031994</v>
      </c>
      <c r="N71" s="3" t="s">
        <v>35</v>
      </c>
      <c r="O71" s="3">
        <v>-2.5</v>
      </c>
      <c r="P71" s="3">
        <v>1</v>
      </c>
      <c r="Q71" s="3">
        <v>1</v>
      </c>
      <c r="R71" s="3">
        <v>0.465690199984238</v>
      </c>
      <c r="S71" s="3">
        <v>833159</v>
      </c>
      <c r="T71" s="3">
        <v>1</v>
      </c>
      <c r="U71" s="3" t="s">
        <v>31</v>
      </c>
      <c r="V71" s="3" t="s">
        <v>32</v>
      </c>
      <c r="W71" s="3"/>
      <c r="X71" s="3" t="s">
        <v>33</v>
      </c>
      <c r="Y71" s="3">
        <v>59.044180997170301</v>
      </c>
      <c r="Z71" s="3" t="s">
        <v>34</v>
      </c>
      <c r="AA71" s="3">
        <f t="shared" si="6"/>
        <v>70</v>
      </c>
      <c r="AB71" s="3">
        <f t="shared" si="7"/>
        <v>1</v>
      </c>
      <c r="AC71" s="3">
        <f t="shared" si="8"/>
        <v>0</v>
      </c>
      <c r="AD71" s="3">
        <f>SUM(AC$2:AC71)</f>
        <v>11</v>
      </c>
    </row>
    <row r="72" spans="1:30" x14ac:dyDescent="0.3">
      <c r="A72" s="3">
        <v>70</v>
      </c>
      <c r="B72" s="3">
        <v>0.5</v>
      </c>
      <c r="C72" s="3">
        <v>2.5</v>
      </c>
      <c r="D72" s="3">
        <v>84.848466700059404</v>
      </c>
      <c r="E72" s="3"/>
      <c r="F72" s="3"/>
      <c r="G72" s="3">
        <v>84.833408500067904</v>
      </c>
      <c r="H72" s="3">
        <v>84.848466700059404</v>
      </c>
      <c r="I72" s="3">
        <v>85.348579499986997</v>
      </c>
      <c r="J72" s="3">
        <v>85.348579499986997</v>
      </c>
      <c r="K72" s="3">
        <v>85.348579499986997</v>
      </c>
      <c r="L72" s="3">
        <v>85.647691700025504</v>
      </c>
      <c r="M72" s="3">
        <v>85.734208300011204</v>
      </c>
      <c r="N72" s="3" t="s">
        <v>35</v>
      </c>
      <c r="O72" s="3">
        <v>-2.5</v>
      </c>
      <c r="P72" s="3">
        <v>1</v>
      </c>
      <c r="Q72" s="3">
        <v>1</v>
      </c>
      <c r="R72" s="3">
        <v>0.371700899908319</v>
      </c>
      <c r="S72" s="3">
        <v>833159</v>
      </c>
      <c r="T72" s="3">
        <v>1</v>
      </c>
      <c r="U72" s="3" t="s">
        <v>31</v>
      </c>
      <c r="V72" s="3" t="s">
        <v>32</v>
      </c>
      <c r="W72" s="3"/>
      <c r="X72" s="3" t="s">
        <v>33</v>
      </c>
      <c r="Y72" s="3">
        <v>59.044180997170301</v>
      </c>
      <c r="Z72" s="3" t="s">
        <v>34</v>
      </c>
      <c r="AA72" s="3">
        <f t="shared" si="6"/>
        <v>71</v>
      </c>
      <c r="AB72" s="3">
        <f t="shared" si="7"/>
        <v>1</v>
      </c>
      <c r="AC72" s="3">
        <f t="shared" si="8"/>
        <v>0</v>
      </c>
      <c r="AD72" s="3">
        <f>SUM(AC$2:AC72)</f>
        <v>11</v>
      </c>
    </row>
    <row r="73" spans="1:30" x14ac:dyDescent="0.3">
      <c r="A73" s="3">
        <v>71</v>
      </c>
      <c r="B73" s="3">
        <v>0.5</v>
      </c>
      <c r="C73" s="3">
        <v>2</v>
      </c>
      <c r="D73" s="3">
        <v>85.748278300045101</v>
      </c>
      <c r="E73" s="3"/>
      <c r="F73" s="3"/>
      <c r="G73" s="3">
        <v>85.734705700073405</v>
      </c>
      <c r="H73" s="3">
        <v>85.748278300045101</v>
      </c>
      <c r="I73" s="3">
        <v>86.2492840000195</v>
      </c>
      <c r="J73" s="3">
        <v>86.2492840000195</v>
      </c>
      <c r="K73" s="3">
        <v>86.2492840000195</v>
      </c>
      <c r="L73" s="3">
        <v>86.549629800021705</v>
      </c>
      <c r="M73" s="3">
        <v>86.999200200079898</v>
      </c>
      <c r="N73" s="3" t="s">
        <v>30</v>
      </c>
      <c r="O73" s="3">
        <v>2</v>
      </c>
      <c r="P73" s="3">
        <v>0</v>
      </c>
      <c r="Q73" s="3">
        <v>0</v>
      </c>
      <c r="R73" s="3">
        <v>0.74481740000192098</v>
      </c>
      <c r="S73" s="3">
        <v>833159</v>
      </c>
      <c r="T73" s="3">
        <v>1</v>
      </c>
      <c r="U73" s="3" t="s">
        <v>31</v>
      </c>
      <c r="V73" s="3" t="s">
        <v>32</v>
      </c>
      <c r="W73" s="3"/>
      <c r="X73" s="3" t="s">
        <v>33</v>
      </c>
      <c r="Y73" s="3">
        <v>59.044180997170301</v>
      </c>
      <c r="Z73" s="3" t="s">
        <v>34</v>
      </c>
      <c r="AA73" s="3">
        <f t="shared" si="6"/>
        <v>72</v>
      </c>
      <c r="AB73" s="3">
        <f t="shared" si="7"/>
        <v>1</v>
      </c>
      <c r="AC73" s="3">
        <f t="shared" si="8"/>
        <v>1</v>
      </c>
      <c r="AD73" s="3">
        <f>SUM(AC$2:AC73)</f>
        <v>12</v>
      </c>
    </row>
    <row r="74" spans="1:30" x14ac:dyDescent="0.3">
      <c r="A74" s="3">
        <v>72</v>
      </c>
      <c r="B74" s="3">
        <v>0.5</v>
      </c>
      <c r="C74" s="3">
        <v>2.5</v>
      </c>
      <c r="D74" s="3">
        <v>87.016508699976796</v>
      </c>
      <c r="E74" s="3"/>
      <c r="F74" s="3"/>
      <c r="G74" s="3">
        <v>86.999635900021502</v>
      </c>
      <c r="H74" s="3">
        <v>87.016508699976796</v>
      </c>
      <c r="I74" s="3">
        <v>87.499733400065494</v>
      </c>
      <c r="J74" s="3">
        <v>87.499733400065494</v>
      </c>
      <c r="K74" s="3">
        <v>87.514829399995506</v>
      </c>
      <c r="L74" s="3">
        <v>87.815323600079907</v>
      </c>
      <c r="M74" s="3">
        <v>88.132318400079399</v>
      </c>
      <c r="N74" s="3" t="s">
        <v>35</v>
      </c>
      <c r="O74" s="3">
        <v>-2.5</v>
      </c>
      <c r="P74" s="3">
        <v>1</v>
      </c>
      <c r="Q74" s="3">
        <v>1</v>
      </c>
      <c r="R74" s="3">
        <v>0.61790070007555198</v>
      </c>
      <c r="S74" s="3">
        <v>833159</v>
      </c>
      <c r="T74" s="3">
        <v>1</v>
      </c>
      <c r="U74" s="3" t="s">
        <v>31</v>
      </c>
      <c r="V74" s="3" t="s">
        <v>32</v>
      </c>
      <c r="W74" s="3"/>
      <c r="X74" s="3" t="s">
        <v>33</v>
      </c>
      <c r="Y74" s="3">
        <v>59.044180997170301</v>
      </c>
      <c r="Z74" s="3" t="s">
        <v>34</v>
      </c>
      <c r="AA74" s="3">
        <f t="shared" si="6"/>
        <v>73</v>
      </c>
      <c r="AB74" s="3">
        <f t="shared" si="7"/>
        <v>0</v>
      </c>
      <c r="AC74" s="3">
        <f t="shared" si="8"/>
        <v>0</v>
      </c>
      <c r="AD74" s="3">
        <f>SUM(AC$2:AC74)</f>
        <v>12</v>
      </c>
    </row>
    <row r="75" spans="1:30" x14ac:dyDescent="0.3">
      <c r="A75" s="3">
        <v>73</v>
      </c>
      <c r="B75" s="3">
        <v>0.5</v>
      </c>
      <c r="C75" s="3">
        <v>2.5</v>
      </c>
      <c r="D75" s="3">
        <v>88.147890100022806</v>
      </c>
      <c r="E75" s="3"/>
      <c r="F75" s="3"/>
      <c r="G75" s="3">
        <v>88.132665200042496</v>
      </c>
      <c r="H75" s="3">
        <v>88.147890100022806</v>
      </c>
      <c r="I75" s="3">
        <v>88.632053700042903</v>
      </c>
      <c r="J75" s="3">
        <v>88.632053700042903</v>
      </c>
      <c r="K75" s="3">
        <v>88.649512000032701</v>
      </c>
      <c r="L75" s="3">
        <v>88.931558700045599</v>
      </c>
      <c r="M75" s="3">
        <v>89.365333999972805</v>
      </c>
      <c r="N75" s="3" t="s">
        <v>30</v>
      </c>
      <c r="O75" s="3">
        <v>2.5</v>
      </c>
      <c r="P75" s="3">
        <v>1</v>
      </c>
      <c r="Q75" s="3">
        <v>1</v>
      </c>
      <c r="R75" s="3">
        <v>0.71720079996157404</v>
      </c>
      <c r="S75" s="3">
        <v>833159</v>
      </c>
      <c r="T75" s="3">
        <v>1</v>
      </c>
      <c r="U75" s="3" t="s">
        <v>31</v>
      </c>
      <c r="V75" s="3" t="s">
        <v>32</v>
      </c>
      <c r="W75" s="3"/>
      <c r="X75" s="3" t="s">
        <v>33</v>
      </c>
      <c r="Y75" s="3">
        <v>59.044180997170301</v>
      </c>
      <c r="Z75" s="3" t="s">
        <v>34</v>
      </c>
      <c r="AA75" s="3">
        <f t="shared" si="6"/>
        <v>74</v>
      </c>
      <c r="AB75" s="3">
        <f t="shared" si="7"/>
        <v>1</v>
      </c>
      <c r="AC75" s="3">
        <f t="shared" si="8"/>
        <v>0</v>
      </c>
      <c r="AD75" s="3">
        <f>SUM(AC$2:AC75)</f>
        <v>12</v>
      </c>
    </row>
    <row r="76" spans="1:30" x14ac:dyDescent="0.3">
      <c r="A76" s="3">
        <v>74</v>
      </c>
      <c r="B76" s="3">
        <v>0.5</v>
      </c>
      <c r="C76" s="3">
        <v>2.5</v>
      </c>
      <c r="D76" s="3">
        <v>89.3820150999818</v>
      </c>
      <c r="E76" s="3"/>
      <c r="F76" s="3"/>
      <c r="G76" s="3">
        <v>89.365680200047805</v>
      </c>
      <c r="H76" s="3">
        <v>89.3820150999818</v>
      </c>
      <c r="I76" s="3">
        <v>89.865826900000698</v>
      </c>
      <c r="J76" s="3">
        <v>89.865826900000698</v>
      </c>
      <c r="K76" s="3">
        <v>89.882338099996602</v>
      </c>
      <c r="L76" s="3">
        <v>90.181574200047194</v>
      </c>
      <c r="M76" s="3">
        <v>90.364702800055994</v>
      </c>
      <c r="N76" s="3" t="s">
        <v>35</v>
      </c>
      <c r="O76" s="3">
        <v>-2.5</v>
      </c>
      <c r="P76" s="3">
        <v>1</v>
      </c>
      <c r="Q76" s="3">
        <v>1</v>
      </c>
      <c r="R76" s="3">
        <v>0.48283350002020597</v>
      </c>
      <c r="S76" s="3">
        <v>833159</v>
      </c>
      <c r="T76" s="3">
        <v>1</v>
      </c>
      <c r="U76" s="3" t="s">
        <v>31</v>
      </c>
      <c r="V76" s="3" t="s">
        <v>32</v>
      </c>
      <c r="W76" s="3"/>
      <c r="X76" s="3" t="s">
        <v>33</v>
      </c>
      <c r="Y76" s="3">
        <v>59.044180997170301</v>
      </c>
      <c r="Z76" s="3" t="s">
        <v>34</v>
      </c>
      <c r="AA76" s="3">
        <f t="shared" si="6"/>
        <v>75</v>
      </c>
      <c r="AB76" s="3">
        <f t="shared" si="7"/>
        <v>1</v>
      </c>
      <c r="AC76" s="3">
        <f t="shared" si="8"/>
        <v>0</v>
      </c>
      <c r="AD76" s="3">
        <f>SUM(AC$2:AC76)</f>
        <v>12</v>
      </c>
    </row>
    <row r="77" spans="1:30" x14ac:dyDescent="0.3">
      <c r="A77" s="3">
        <v>75</v>
      </c>
      <c r="B77" s="3">
        <v>0.5</v>
      </c>
      <c r="C77" s="3">
        <v>2</v>
      </c>
      <c r="D77" s="3">
        <v>90.380930499988594</v>
      </c>
      <c r="E77" s="3"/>
      <c r="F77" s="3"/>
      <c r="G77" s="3">
        <v>90.364979400066701</v>
      </c>
      <c r="H77" s="3">
        <v>90.380930499988594</v>
      </c>
      <c r="I77" s="3">
        <v>90.864331100019598</v>
      </c>
      <c r="J77" s="3">
        <v>90.864331100019598</v>
      </c>
      <c r="K77" s="3">
        <v>90.882071500061997</v>
      </c>
      <c r="L77" s="3">
        <v>91.165988699998707</v>
      </c>
      <c r="M77" s="3">
        <v>91.501405099988901</v>
      </c>
      <c r="N77" s="3" t="s">
        <v>35</v>
      </c>
      <c r="O77" s="3">
        <v>-2</v>
      </c>
      <c r="P77" s="3">
        <v>1</v>
      </c>
      <c r="Q77" s="3">
        <v>1</v>
      </c>
      <c r="R77" s="3">
        <v>0.62707669998053495</v>
      </c>
      <c r="S77" s="3">
        <v>833159</v>
      </c>
      <c r="T77" s="3">
        <v>1</v>
      </c>
      <c r="U77" s="3" t="s">
        <v>31</v>
      </c>
      <c r="V77" s="3" t="s">
        <v>32</v>
      </c>
      <c r="W77" s="3"/>
      <c r="X77" s="3" t="s">
        <v>33</v>
      </c>
      <c r="Y77" s="3">
        <v>59.044180997170301</v>
      </c>
      <c r="Z77" s="3" t="s">
        <v>34</v>
      </c>
      <c r="AA77" s="3">
        <f t="shared" si="6"/>
        <v>76</v>
      </c>
      <c r="AB77" s="3">
        <f t="shared" si="7"/>
        <v>1</v>
      </c>
      <c r="AC77" s="3">
        <f t="shared" si="8"/>
        <v>0</v>
      </c>
      <c r="AD77" s="3">
        <f>SUM(AC$2:AC77)</f>
        <v>12</v>
      </c>
    </row>
    <row r="78" spans="1:30" x14ac:dyDescent="0.3">
      <c r="A78" s="3">
        <v>76</v>
      </c>
      <c r="B78" s="3">
        <v>0.5</v>
      </c>
      <c r="C78" s="3">
        <v>2</v>
      </c>
      <c r="D78" s="3">
        <v>91.515861600055402</v>
      </c>
      <c r="E78" s="3"/>
      <c r="F78" s="3"/>
      <c r="G78" s="3">
        <v>91.502056500059595</v>
      </c>
      <c r="H78" s="3">
        <v>91.515861600055402</v>
      </c>
      <c r="I78" s="3">
        <v>92.016161000006903</v>
      </c>
      <c r="J78" s="3">
        <v>92.016161000006903</v>
      </c>
      <c r="K78" s="3">
        <v>92.016161000006903</v>
      </c>
      <c r="L78" s="3">
        <v>92.314202500041603</v>
      </c>
      <c r="M78" s="3">
        <v>92.350008300039903</v>
      </c>
      <c r="N78" s="3" t="s">
        <v>30</v>
      </c>
      <c r="O78" s="3">
        <v>2</v>
      </c>
      <c r="P78" s="3">
        <v>0</v>
      </c>
      <c r="Q78" s="3">
        <v>0</v>
      </c>
      <c r="R78" s="3">
        <v>0.32270539994351599</v>
      </c>
      <c r="S78" s="3">
        <v>833159</v>
      </c>
      <c r="T78" s="3">
        <v>1</v>
      </c>
      <c r="U78" s="3" t="s">
        <v>31</v>
      </c>
      <c r="V78" s="3" t="s">
        <v>32</v>
      </c>
      <c r="W78" s="3"/>
      <c r="X78" s="3" t="s">
        <v>33</v>
      </c>
      <c r="Y78" s="3">
        <v>59.044180997170301</v>
      </c>
      <c r="Z78" s="3" t="s">
        <v>34</v>
      </c>
      <c r="AA78" s="3">
        <f t="shared" si="6"/>
        <v>77</v>
      </c>
      <c r="AB78" s="3">
        <f t="shared" si="7"/>
        <v>1</v>
      </c>
      <c r="AC78" s="3">
        <f t="shared" si="8"/>
        <v>1</v>
      </c>
      <c r="AD78" s="3">
        <f>SUM(AC$2:AC78)</f>
        <v>13</v>
      </c>
    </row>
    <row r="79" spans="1:30" x14ac:dyDescent="0.3">
      <c r="A79" s="3">
        <v>77</v>
      </c>
      <c r="B79" s="3">
        <v>0.5</v>
      </c>
      <c r="C79" s="3">
        <v>2.5</v>
      </c>
      <c r="D79" s="3">
        <v>92.364474300062298</v>
      </c>
      <c r="E79" s="3"/>
      <c r="F79" s="3"/>
      <c r="G79" s="3">
        <v>92.350395100074806</v>
      </c>
      <c r="H79" s="3">
        <v>92.364474300062298</v>
      </c>
      <c r="I79" s="3">
        <v>92.8669545999728</v>
      </c>
      <c r="J79" s="3">
        <v>92.8669545999728</v>
      </c>
      <c r="K79" s="3">
        <v>92.8669545999728</v>
      </c>
      <c r="L79" s="3">
        <v>93.181198399979607</v>
      </c>
      <c r="M79" s="3">
        <v>93.199506100034299</v>
      </c>
      <c r="N79" s="3" t="s">
        <v>30</v>
      </c>
      <c r="O79" s="3">
        <v>2.5</v>
      </c>
      <c r="P79" s="3">
        <v>1</v>
      </c>
      <c r="Q79" s="3">
        <v>1</v>
      </c>
      <c r="R79" s="3">
        <v>0.31503709999378798</v>
      </c>
      <c r="S79" s="3">
        <v>833159</v>
      </c>
      <c r="T79" s="3">
        <v>1</v>
      </c>
      <c r="U79" s="3" t="s">
        <v>31</v>
      </c>
      <c r="V79" s="3" t="s">
        <v>32</v>
      </c>
      <c r="W79" s="3"/>
      <c r="X79" s="3" t="s">
        <v>33</v>
      </c>
      <c r="Y79" s="3">
        <v>59.044180997170301</v>
      </c>
      <c r="Z79" s="3" t="s">
        <v>34</v>
      </c>
      <c r="AA79" s="3">
        <f t="shared" si="6"/>
        <v>78</v>
      </c>
      <c r="AB79" s="3">
        <f t="shared" si="7"/>
        <v>0</v>
      </c>
      <c r="AC79" s="3">
        <f t="shared" si="8"/>
        <v>0</v>
      </c>
      <c r="AD79" s="3">
        <f>SUM(AC$2:AC79)</f>
        <v>13</v>
      </c>
    </row>
    <row r="80" spans="1:30" x14ac:dyDescent="0.3">
      <c r="A80" s="3">
        <v>78</v>
      </c>
      <c r="B80" s="3">
        <v>0.5</v>
      </c>
      <c r="C80" s="3">
        <v>2.5</v>
      </c>
      <c r="D80" s="3">
        <v>93.214350500027606</v>
      </c>
      <c r="E80" s="3"/>
      <c r="F80" s="3"/>
      <c r="G80" s="3">
        <v>93.199919900042005</v>
      </c>
      <c r="H80" s="3">
        <v>93.214350500027606</v>
      </c>
      <c r="I80" s="3">
        <v>93.714837000006796</v>
      </c>
      <c r="J80" s="3">
        <v>93.714837000006796</v>
      </c>
      <c r="K80" s="3">
        <v>93.714837000006796</v>
      </c>
      <c r="L80" s="3">
        <v>94.016697400016696</v>
      </c>
      <c r="M80" s="3">
        <v>94.099751100060502</v>
      </c>
      <c r="N80" s="3" t="s">
        <v>35</v>
      </c>
      <c r="O80" s="3">
        <v>-2.5</v>
      </c>
      <c r="P80" s="3">
        <v>1</v>
      </c>
      <c r="Q80" s="3">
        <v>1</v>
      </c>
      <c r="R80" s="3">
        <v>0.37855310004670201</v>
      </c>
      <c r="S80" s="3">
        <v>833159</v>
      </c>
      <c r="T80" s="3">
        <v>1</v>
      </c>
      <c r="U80" s="3" t="s">
        <v>31</v>
      </c>
      <c r="V80" s="3" t="s">
        <v>32</v>
      </c>
      <c r="W80" s="3"/>
      <c r="X80" s="3" t="s">
        <v>33</v>
      </c>
      <c r="Y80" s="3">
        <v>59.044180997170301</v>
      </c>
      <c r="Z80" s="3" t="s">
        <v>34</v>
      </c>
      <c r="AA80" s="3">
        <f t="shared" si="6"/>
        <v>79</v>
      </c>
      <c r="AB80" s="3">
        <f t="shared" si="7"/>
        <v>1</v>
      </c>
      <c r="AC80" s="3">
        <f t="shared" si="8"/>
        <v>0</v>
      </c>
      <c r="AD80" s="3">
        <f>SUM(AC$2:AC80)</f>
        <v>13</v>
      </c>
    </row>
    <row r="81" spans="1:30" x14ac:dyDescent="0.3">
      <c r="A81" s="3">
        <v>79</v>
      </c>
      <c r="B81" s="3">
        <v>0.5</v>
      </c>
      <c r="C81" s="3">
        <v>2.5</v>
      </c>
      <c r="D81" s="3">
        <v>94.114095999975703</v>
      </c>
      <c r="E81" s="3"/>
      <c r="F81" s="3"/>
      <c r="G81" s="3">
        <v>94.1001780000515</v>
      </c>
      <c r="H81" s="3">
        <v>94.114095999975703</v>
      </c>
      <c r="I81" s="3">
        <v>94.614571099984502</v>
      </c>
      <c r="J81" s="3">
        <v>94.614571099984502</v>
      </c>
      <c r="K81" s="3">
        <v>94.614571099984502</v>
      </c>
      <c r="L81" s="3">
        <v>94.916088500060098</v>
      </c>
      <c r="M81" s="3">
        <v>95.333793699974194</v>
      </c>
      <c r="N81" s="3" t="s">
        <v>30</v>
      </c>
      <c r="O81" s="3">
        <v>2.5</v>
      </c>
      <c r="P81" s="3">
        <v>1</v>
      </c>
      <c r="Q81" s="3">
        <v>1</v>
      </c>
      <c r="R81" s="3">
        <v>0.71452030004002198</v>
      </c>
      <c r="S81" s="3">
        <v>833159</v>
      </c>
      <c r="T81" s="3">
        <v>1</v>
      </c>
      <c r="U81" s="3" t="s">
        <v>31</v>
      </c>
      <c r="V81" s="3" t="s">
        <v>32</v>
      </c>
      <c r="W81" s="3"/>
      <c r="X81" s="3" t="s">
        <v>33</v>
      </c>
      <c r="Y81" s="3">
        <v>59.044180997170301</v>
      </c>
      <c r="Z81" s="3" t="s">
        <v>34</v>
      </c>
      <c r="AA81" s="3">
        <f t="shared" si="6"/>
        <v>80</v>
      </c>
      <c r="AB81" s="3">
        <f t="shared" si="7"/>
        <v>1</v>
      </c>
      <c r="AC81" s="3">
        <f t="shared" si="8"/>
        <v>0</v>
      </c>
      <c r="AD81" s="3">
        <f>SUM(AC$2:AC81)</f>
        <v>13</v>
      </c>
    </row>
    <row r="82" spans="1:30" x14ac:dyDescent="0.3">
      <c r="A82" s="3">
        <v>80</v>
      </c>
      <c r="B82" s="3">
        <v>0.5</v>
      </c>
      <c r="C82" s="3">
        <v>2</v>
      </c>
      <c r="D82" s="3">
        <v>95.349330099997999</v>
      </c>
      <c r="E82" s="3"/>
      <c r="F82" s="3"/>
      <c r="G82" s="3">
        <v>95.334285399993007</v>
      </c>
      <c r="H82" s="3">
        <v>95.349330099997999</v>
      </c>
      <c r="I82" s="3">
        <v>95.850161200040006</v>
      </c>
      <c r="J82" s="3">
        <v>95.850161200040006</v>
      </c>
      <c r="K82" s="3">
        <v>95.850161200040006</v>
      </c>
      <c r="L82" s="3">
        <v>96.150290200021104</v>
      </c>
      <c r="M82" s="3">
        <v>96.2308618000243</v>
      </c>
      <c r="N82" s="3" t="s">
        <v>30</v>
      </c>
      <c r="O82" s="3">
        <v>2</v>
      </c>
      <c r="P82" s="3">
        <v>0</v>
      </c>
      <c r="Q82" s="3">
        <v>0</v>
      </c>
      <c r="R82" s="3">
        <v>0.36424869997426901</v>
      </c>
      <c r="S82" s="3">
        <v>833159</v>
      </c>
      <c r="T82" s="3">
        <v>1</v>
      </c>
      <c r="U82" s="3" t="s">
        <v>31</v>
      </c>
      <c r="V82" s="3" t="s">
        <v>32</v>
      </c>
      <c r="W82" s="3"/>
      <c r="X82" s="3" t="s">
        <v>33</v>
      </c>
      <c r="Y82" s="3">
        <v>59.044180997170301</v>
      </c>
      <c r="Z82" s="3" t="s">
        <v>34</v>
      </c>
      <c r="AA82" s="3">
        <f t="shared" si="6"/>
        <v>81</v>
      </c>
      <c r="AB82" s="3">
        <f t="shared" si="7"/>
        <v>1</v>
      </c>
      <c r="AC82" s="3">
        <f t="shared" si="8"/>
        <v>1</v>
      </c>
      <c r="AD82" s="3">
        <f>SUM(AC$2:AC82)</f>
        <v>14</v>
      </c>
    </row>
    <row r="83" spans="1:30" x14ac:dyDescent="0.3">
      <c r="A83" s="3">
        <v>81</v>
      </c>
      <c r="B83" s="3">
        <v>0.5</v>
      </c>
      <c r="C83" s="3">
        <v>2.5</v>
      </c>
      <c r="D83" s="3">
        <v>96.247326000011498</v>
      </c>
      <c r="E83" s="3"/>
      <c r="F83" s="3"/>
      <c r="G83" s="3">
        <v>96.231078500044504</v>
      </c>
      <c r="H83" s="3">
        <v>96.247326000011498</v>
      </c>
      <c r="I83" s="3">
        <v>96.7470988000277</v>
      </c>
      <c r="J83" s="3">
        <v>96.7470988000277</v>
      </c>
      <c r="K83" s="3">
        <v>96.7470988000277</v>
      </c>
      <c r="L83" s="3">
        <v>97.049833400058603</v>
      </c>
      <c r="M83" s="3">
        <v>97.131181700038695</v>
      </c>
      <c r="N83" s="3" t="s">
        <v>35</v>
      </c>
      <c r="O83" s="3">
        <v>-2.5</v>
      </c>
      <c r="P83" s="3">
        <v>0</v>
      </c>
      <c r="Q83" s="3">
        <v>0</v>
      </c>
      <c r="R83" s="3">
        <v>0.374055100022815</v>
      </c>
      <c r="S83" s="3">
        <v>833159</v>
      </c>
      <c r="T83" s="3">
        <v>1</v>
      </c>
      <c r="U83" s="3" t="s">
        <v>31</v>
      </c>
      <c r="V83" s="3" t="s">
        <v>32</v>
      </c>
      <c r="W83" s="3"/>
      <c r="X83" s="3" t="s">
        <v>33</v>
      </c>
      <c r="Y83" s="3">
        <v>59.044180997170301</v>
      </c>
      <c r="Z83" s="3" t="s">
        <v>34</v>
      </c>
      <c r="AA83" s="3">
        <f t="shared" si="6"/>
        <v>82</v>
      </c>
      <c r="AB83" s="3">
        <f t="shared" si="7"/>
        <v>0</v>
      </c>
      <c r="AC83" s="3">
        <f t="shared" si="8"/>
        <v>0</v>
      </c>
      <c r="AD83" s="3">
        <f>SUM(AC$2:AC83)</f>
        <v>14</v>
      </c>
    </row>
    <row r="84" spans="1:30" x14ac:dyDescent="0.3">
      <c r="A84" s="3">
        <v>82</v>
      </c>
      <c r="B84" s="3">
        <v>0.5</v>
      </c>
      <c r="C84" s="3">
        <v>3</v>
      </c>
      <c r="D84" s="3">
        <v>97.147720400011195</v>
      </c>
      <c r="E84" s="3"/>
      <c r="F84" s="3"/>
      <c r="G84" s="3">
        <v>97.131448499974795</v>
      </c>
      <c r="H84" s="3">
        <v>97.147720400011195</v>
      </c>
      <c r="I84" s="3">
        <v>97.629889099975102</v>
      </c>
      <c r="J84" s="3">
        <v>97.629889099975102</v>
      </c>
      <c r="K84" s="3">
        <v>97.663561900029904</v>
      </c>
      <c r="L84" s="3">
        <v>97.932986499974504</v>
      </c>
      <c r="M84" s="3">
        <v>98.450049599981895</v>
      </c>
      <c r="N84" s="3" t="s">
        <v>30</v>
      </c>
      <c r="O84" s="3">
        <v>3</v>
      </c>
      <c r="P84" s="3">
        <v>0</v>
      </c>
      <c r="Q84" s="3">
        <v>0</v>
      </c>
      <c r="R84" s="3">
        <v>0.80692999996244896</v>
      </c>
      <c r="S84" s="3">
        <v>833159</v>
      </c>
      <c r="T84" s="3">
        <v>1</v>
      </c>
      <c r="U84" s="3" t="s">
        <v>31</v>
      </c>
      <c r="V84" s="3" t="s">
        <v>32</v>
      </c>
      <c r="W84" s="3"/>
      <c r="X84" s="3" t="s">
        <v>33</v>
      </c>
      <c r="Y84" s="3">
        <v>59.044180997170301</v>
      </c>
      <c r="Z84" s="3" t="s">
        <v>34</v>
      </c>
      <c r="AA84" s="3">
        <f t="shared" si="6"/>
        <v>83</v>
      </c>
      <c r="AB84" s="3">
        <f t="shared" si="7"/>
        <v>0</v>
      </c>
      <c r="AC84" s="3">
        <f t="shared" si="8"/>
        <v>0</v>
      </c>
      <c r="AD84" s="3">
        <f>SUM(AC$2:AC84)</f>
        <v>14</v>
      </c>
    </row>
    <row r="85" spans="1:30" x14ac:dyDescent="0.3">
      <c r="A85" s="3">
        <v>83</v>
      </c>
      <c r="B85" s="3">
        <v>0.5</v>
      </c>
      <c r="C85" s="3">
        <v>3.5</v>
      </c>
      <c r="D85" s="3">
        <v>98.463816000032196</v>
      </c>
      <c r="E85" s="3"/>
      <c r="F85" s="3"/>
      <c r="G85" s="3">
        <v>98.450514400028595</v>
      </c>
      <c r="H85" s="3">
        <v>98.463816000032196</v>
      </c>
      <c r="I85" s="3">
        <v>98.965219700010493</v>
      </c>
      <c r="J85" s="3">
        <v>98.965219700010493</v>
      </c>
      <c r="K85" s="3">
        <v>98.965219700010493</v>
      </c>
      <c r="L85" s="3">
        <v>99.263962200027905</v>
      </c>
      <c r="M85" s="3">
        <v>99.403611100046007</v>
      </c>
      <c r="N85" s="3" t="s">
        <v>35</v>
      </c>
      <c r="O85" s="3">
        <v>-3.5</v>
      </c>
      <c r="P85" s="3">
        <v>1</v>
      </c>
      <c r="Q85" s="3">
        <v>1</v>
      </c>
      <c r="R85" s="3">
        <v>0.43422599998302802</v>
      </c>
      <c r="S85" s="3">
        <v>833159</v>
      </c>
      <c r="T85" s="3">
        <v>1</v>
      </c>
      <c r="U85" s="3" t="s">
        <v>31</v>
      </c>
      <c r="V85" s="3" t="s">
        <v>32</v>
      </c>
      <c r="W85" s="3"/>
      <c r="X85" s="3" t="s">
        <v>33</v>
      </c>
      <c r="Y85" s="3">
        <v>59.044180997170301</v>
      </c>
      <c r="Z85" s="3" t="s">
        <v>34</v>
      </c>
      <c r="AA85" s="3">
        <f t="shared" si="6"/>
        <v>84</v>
      </c>
      <c r="AB85" s="3">
        <f t="shared" si="7"/>
        <v>0</v>
      </c>
      <c r="AC85" s="3">
        <f t="shared" si="8"/>
        <v>0</v>
      </c>
      <c r="AD85" s="3">
        <f>SUM(AC$2:AC85)</f>
        <v>14</v>
      </c>
    </row>
    <row r="86" spans="1:30" x14ac:dyDescent="0.3">
      <c r="A86" s="3">
        <v>84</v>
      </c>
      <c r="B86" s="3">
        <v>0.5</v>
      </c>
      <c r="C86" s="3">
        <v>3.5</v>
      </c>
      <c r="D86" s="3">
        <v>99.418933000066303</v>
      </c>
      <c r="E86" s="3"/>
      <c r="F86" s="3"/>
      <c r="G86" s="3">
        <v>99.404252300038905</v>
      </c>
      <c r="H86" s="3">
        <v>99.418933000066303</v>
      </c>
      <c r="I86" s="3">
        <v>99.913810600060998</v>
      </c>
      <c r="J86" s="3">
        <v>99.913810600060998</v>
      </c>
      <c r="K86" s="3">
        <v>99.930117400013799</v>
      </c>
      <c r="L86" s="3">
        <v>100.213638700079</v>
      </c>
      <c r="M86" s="3">
        <v>100.248835999984</v>
      </c>
      <c r="N86" s="3" t="s">
        <v>35</v>
      </c>
      <c r="O86" s="3">
        <v>-3.5</v>
      </c>
      <c r="P86" s="3">
        <v>1</v>
      </c>
      <c r="Q86" s="3">
        <v>1</v>
      </c>
      <c r="R86" s="3">
        <v>0.328868599957787</v>
      </c>
      <c r="S86" s="3">
        <v>833159</v>
      </c>
      <c r="T86" s="3">
        <v>1</v>
      </c>
      <c r="U86" s="3" t="s">
        <v>31</v>
      </c>
      <c r="V86" s="3" t="s">
        <v>32</v>
      </c>
      <c r="W86" s="3"/>
      <c r="X86" s="3" t="s">
        <v>33</v>
      </c>
      <c r="Y86" s="3">
        <v>59.044180997170301</v>
      </c>
      <c r="Z86" s="3" t="s">
        <v>34</v>
      </c>
      <c r="AA86" s="3">
        <f t="shared" si="6"/>
        <v>85</v>
      </c>
      <c r="AB86" s="3">
        <f t="shared" si="7"/>
        <v>1</v>
      </c>
      <c r="AC86" s="3">
        <f t="shared" si="8"/>
        <v>0</v>
      </c>
      <c r="AD86" s="3">
        <f>SUM(AC$2:AC86)</f>
        <v>14</v>
      </c>
    </row>
    <row r="87" spans="1:30" x14ac:dyDescent="0.3">
      <c r="A87" s="3">
        <v>85</v>
      </c>
      <c r="B87" s="3">
        <v>0.5</v>
      </c>
      <c r="C87" s="3">
        <v>3.5</v>
      </c>
      <c r="D87" s="3">
        <v>100.26429940003401</v>
      </c>
      <c r="E87" s="3"/>
      <c r="F87" s="3"/>
      <c r="G87" s="3">
        <v>100.249146200018</v>
      </c>
      <c r="H87" s="3">
        <v>100.26429940003401</v>
      </c>
      <c r="I87" s="3">
        <v>100.74972349999</v>
      </c>
      <c r="J87" s="3">
        <v>100.74972349999</v>
      </c>
      <c r="K87" s="3">
        <v>100.767100900062</v>
      </c>
      <c r="L87" s="3">
        <v>101.047739200061</v>
      </c>
      <c r="M87" s="3">
        <v>101.150446000043</v>
      </c>
      <c r="N87" s="3" t="s">
        <v>30</v>
      </c>
      <c r="O87" s="3">
        <v>3.5</v>
      </c>
      <c r="P87" s="3">
        <v>0</v>
      </c>
      <c r="Q87" s="3">
        <v>0</v>
      </c>
      <c r="R87" s="3">
        <v>0.38885109999682799</v>
      </c>
      <c r="S87" s="3">
        <v>833159</v>
      </c>
      <c r="T87" s="3">
        <v>1</v>
      </c>
      <c r="U87" s="3" t="s">
        <v>31</v>
      </c>
      <c r="V87" s="3" t="s">
        <v>32</v>
      </c>
      <c r="W87" s="3"/>
      <c r="X87" s="3" t="s">
        <v>33</v>
      </c>
      <c r="Y87" s="3">
        <v>59.044180997170301</v>
      </c>
      <c r="Z87" s="3" t="s">
        <v>34</v>
      </c>
      <c r="AA87" s="3">
        <f t="shared" si="6"/>
        <v>86</v>
      </c>
      <c r="AB87" s="3">
        <f t="shared" si="7"/>
        <v>1</v>
      </c>
      <c r="AC87" s="3">
        <f t="shared" si="8"/>
        <v>1</v>
      </c>
      <c r="AD87" s="3">
        <f>SUM(AC$2:AC87)</f>
        <v>15</v>
      </c>
    </row>
    <row r="88" spans="1:30" x14ac:dyDescent="0.3">
      <c r="A88" s="3">
        <v>86</v>
      </c>
      <c r="B88" s="3">
        <v>0.5</v>
      </c>
      <c r="C88" s="3">
        <v>4</v>
      </c>
      <c r="D88" s="3">
        <v>101.165952300071</v>
      </c>
      <c r="E88" s="3"/>
      <c r="F88" s="3"/>
      <c r="G88" s="3">
        <v>101.15093980007801</v>
      </c>
      <c r="H88" s="3">
        <v>101.165952300071</v>
      </c>
      <c r="I88" s="3">
        <v>101.664211599971</v>
      </c>
      <c r="J88" s="3">
        <v>101.664211599971</v>
      </c>
      <c r="K88" s="3">
        <v>101.68217220005999</v>
      </c>
      <c r="L88" s="3">
        <v>101.964314099983</v>
      </c>
      <c r="M88" s="3">
        <v>101.997411900084</v>
      </c>
      <c r="N88" s="3" t="s">
        <v>30</v>
      </c>
      <c r="O88" s="3">
        <v>4</v>
      </c>
      <c r="P88" s="3">
        <v>0</v>
      </c>
      <c r="Q88" s="3">
        <v>0</v>
      </c>
      <c r="R88" s="3">
        <v>0.32766279997304099</v>
      </c>
      <c r="S88" s="3">
        <v>833159</v>
      </c>
      <c r="T88" s="3">
        <v>1</v>
      </c>
      <c r="U88" s="3" t="s">
        <v>31</v>
      </c>
      <c r="V88" s="3" t="s">
        <v>32</v>
      </c>
      <c r="W88" s="3"/>
      <c r="X88" s="3" t="s">
        <v>33</v>
      </c>
      <c r="Y88" s="3">
        <v>59.044180997170301</v>
      </c>
      <c r="Z88" s="3" t="s">
        <v>34</v>
      </c>
      <c r="AA88" s="3">
        <f t="shared" si="6"/>
        <v>87</v>
      </c>
      <c r="AB88" s="3">
        <f t="shared" si="7"/>
        <v>0</v>
      </c>
      <c r="AC88" s="3">
        <f t="shared" si="8"/>
        <v>0</v>
      </c>
      <c r="AD88" s="3">
        <f>SUM(AC$2:AC88)</f>
        <v>15</v>
      </c>
    </row>
    <row r="89" spans="1:30" x14ac:dyDescent="0.3">
      <c r="A89" s="3">
        <v>87</v>
      </c>
      <c r="B89" s="3">
        <v>0.5</v>
      </c>
      <c r="C89" s="3">
        <v>4.5</v>
      </c>
      <c r="D89" s="3">
        <v>102.013575099991</v>
      </c>
      <c r="E89" s="3"/>
      <c r="F89" s="3"/>
      <c r="G89" s="3">
        <v>101.997649100027</v>
      </c>
      <c r="H89" s="3">
        <v>102.013575099991</v>
      </c>
      <c r="I89" s="3">
        <v>102.498468299978</v>
      </c>
      <c r="J89" s="3">
        <v>102.498468299978</v>
      </c>
      <c r="K89" s="3">
        <v>102.516527400003</v>
      </c>
      <c r="L89" s="3">
        <v>102.799446800025</v>
      </c>
      <c r="M89" s="3">
        <v>102.93459970003499</v>
      </c>
      <c r="N89" s="3" t="s">
        <v>35</v>
      </c>
      <c r="O89" s="3">
        <v>-4.5</v>
      </c>
      <c r="P89" s="3">
        <v>1</v>
      </c>
      <c r="Q89" s="3">
        <v>1</v>
      </c>
      <c r="R89" s="3">
        <v>0.41967910004314002</v>
      </c>
      <c r="S89" s="3">
        <v>833159</v>
      </c>
      <c r="T89" s="3">
        <v>1</v>
      </c>
      <c r="U89" s="3" t="s">
        <v>31</v>
      </c>
      <c r="V89" s="3" t="s">
        <v>32</v>
      </c>
      <c r="W89" s="3"/>
      <c r="X89" s="3" t="s">
        <v>33</v>
      </c>
      <c r="Y89" s="3">
        <v>59.044180997170301</v>
      </c>
      <c r="Z89" s="3" t="s">
        <v>34</v>
      </c>
      <c r="AA89" s="3">
        <f t="shared" si="6"/>
        <v>88</v>
      </c>
      <c r="AB89" s="3">
        <f t="shared" si="7"/>
        <v>0</v>
      </c>
      <c r="AC89" s="3">
        <f t="shared" si="8"/>
        <v>0</v>
      </c>
      <c r="AD89" s="3">
        <f>SUM(AC$2:AC89)</f>
        <v>15</v>
      </c>
    </row>
    <row r="90" spans="1:30" x14ac:dyDescent="0.3">
      <c r="A90" s="3">
        <v>88</v>
      </c>
      <c r="B90" s="3">
        <v>0.5</v>
      </c>
      <c r="C90" s="3">
        <v>4.5</v>
      </c>
      <c r="D90" s="3">
        <v>102.94873679999699</v>
      </c>
      <c r="E90" s="3"/>
      <c r="F90" s="3"/>
      <c r="G90" s="3">
        <v>102.935197500046</v>
      </c>
      <c r="H90" s="3">
        <v>102.94873679999699</v>
      </c>
      <c r="I90" s="3">
        <v>103.448707200005</v>
      </c>
      <c r="J90" s="3">
        <v>103.448707200005</v>
      </c>
      <c r="K90" s="3">
        <v>103.448707200005</v>
      </c>
      <c r="L90" s="3">
        <v>103.747464900021</v>
      </c>
      <c r="M90" s="3">
        <v>103.782019900042</v>
      </c>
      <c r="N90" s="3" t="s">
        <v>35</v>
      </c>
      <c r="O90" s="3">
        <v>-4.5</v>
      </c>
      <c r="P90" s="3">
        <v>1</v>
      </c>
      <c r="Q90" s="3">
        <v>1</v>
      </c>
      <c r="R90" s="3">
        <v>0.32614459993783401</v>
      </c>
      <c r="S90" s="3">
        <v>833159</v>
      </c>
      <c r="T90" s="3">
        <v>1</v>
      </c>
      <c r="U90" s="3" t="s">
        <v>31</v>
      </c>
      <c r="V90" s="3" t="s">
        <v>32</v>
      </c>
      <c r="W90" s="3"/>
      <c r="X90" s="3" t="s">
        <v>33</v>
      </c>
      <c r="Y90" s="3">
        <v>59.044180997170301</v>
      </c>
      <c r="Z90" s="3" t="s">
        <v>34</v>
      </c>
      <c r="AA90" s="3">
        <f t="shared" si="6"/>
        <v>89</v>
      </c>
      <c r="AB90" s="3">
        <f t="shared" si="7"/>
        <v>1</v>
      </c>
      <c r="AC90" s="3">
        <f t="shared" si="8"/>
        <v>0</v>
      </c>
      <c r="AD90" s="3">
        <f>SUM(AC$2:AC90)</f>
        <v>15</v>
      </c>
    </row>
    <row r="91" spans="1:30" x14ac:dyDescent="0.3">
      <c r="A91" s="3">
        <v>89</v>
      </c>
      <c r="B91" s="3">
        <v>0.5</v>
      </c>
      <c r="C91" s="3">
        <v>4.5</v>
      </c>
      <c r="D91" s="3">
        <v>103.79791610001099</v>
      </c>
      <c r="E91" s="3"/>
      <c r="F91" s="3"/>
      <c r="G91" s="3">
        <v>103.78236080007601</v>
      </c>
      <c r="H91" s="3">
        <v>103.79791610001099</v>
      </c>
      <c r="I91" s="3">
        <v>104.280865599983</v>
      </c>
      <c r="J91" s="3">
        <v>104.280865599983</v>
      </c>
      <c r="K91" s="3">
        <v>104.29768449999401</v>
      </c>
      <c r="L91" s="3">
        <v>104.582754199975</v>
      </c>
      <c r="M91" s="3">
        <v>104.56758849998</v>
      </c>
      <c r="N91" s="3" t="s">
        <v>30</v>
      </c>
      <c r="O91" s="3">
        <v>4.5</v>
      </c>
      <c r="P91" s="3">
        <v>0</v>
      </c>
      <c r="Q91" s="3">
        <v>0</v>
      </c>
      <c r="R91" s="3">
        <v>0.27008599997498101</v>
      </c>
      <c r="S91" s="3">
        <v>833159</v>
      </c>
      <c r="T91" s="3">
        <v>1</v>
      </c>
      <c r="U91" s="3" t="s">
        <v>31</v>
      </c>
      <c r="V91" s="3" t="s">
        <v>32</v>
      </c>
      <c r="W91" s="3"/>
      <c r="X91" s="3" t="s">
        <v>33</v>
      </c>
      <c r="Y91" s="3">
        <v>59.044180997170301</v>
      </c>
      <c r="Z91" s="3" t="s">
        <v>34</v>
      </c>
      <c r="AA91" s="3">
        <f t="shared" si="6"/>
        <v>90</v>
      </c>
      <c r="AB91" s="3">
        <f t="shared" si="7"/>
        <v>1</v>
      </c>
      <c r="AC91" s="3">
        <f t="shared" si="8"/>
        <v>1</v>
      </c>
      <c r="AD91" s="3">
        <f>SUM(AC$2:AC91)</f>
        <v>16</v>
      </c>
    </row>
    <row r="92" spans="1:30" x14ac:dyDescent="0.3">
      <c r="A92" s="3">
        <v>90</v>
      </c>
      <c r="B92" s="3">
        <v>0.5</v>
      </c>
      <c r="C92" s="3">
        <v>5</v>
      </c>
      <c r="D92" s="3">
        <v>104.582754199975</v>
      </c>
      <c r="E92" s="3"/>
      <c r="F92" s="3"/>
      <c r="G92" s="3">
        <v>104.568143300014</v>
      </c>
      <c r="H92" s="3">
        <v>104.582754199975</v>
      </c>
      <c r="I92" s="3">
        <v>105.080770000001</v>
      </c>
      <c r="J92" s="3">
        <v>105.080770000001</v>
      </c>
      <c r="K92" s="3">
        <v>105.097260800074</v>
      </c>
      <c r="L92" s="3"/>
      <c r="M92" s="3">
        <v>105.316498000058</v>
      </c>
      <c r="N92" s="3" t="s">
        <v>30</v>
      </c>
      <c r="O92" s="3">
        <v>5</v>
      </c>
      <c r="P92" s="3">
        <v>0</v>
      </c>
      <c r="Q92" s="3">
        <v>0</v>
      </c>
      <c r="R92" s="3">
        <v>0.22170919994823601</v>
      </c>
      <c r="S92" s="3">
        <v>833159</v>
      </c>
      <c r="T92" s="3">
        <v>1</v>
      </c>
      <c r="U92" s="3" t="s">
        <v>31</v>
      </c>
      <c r="V92" s="3" t="s">
        <v>32</v>
      </c>
      <c r="W92" s="3"/>
      <c r="X92" s="3" t="s">
        <v>33</v>
      </c>
      <c r="Y92" s="3">
        <v>59.044180997170301</v>
      </c>
      <c r="Z92" s="3" t="s">
        <v>34</v>
      </c>
      <c r="AA92" s="3">
        <f t="shared" si="6"/>
        <v>91</v>
      </c>
      <c r="AB92" s="3">
        <f t="shared" si="7"/>
        <v>0</v>
      </c>
      <c r="AC92" s="3">
        <f t="shared" si="8"/>
        <v>0</v>
      </c>
      <c r="AD92" s="3">
        <f>SUM(AC$2:AC92)</f>
        <v>16</v>
      </c>
    </row>
    <row r="93" spans="1:30" x14ac:dyDescent="0.3">
      <c r="A93" s="3">
        <v>91</v>
      </c>
      <c r="B93" s="3">
        <v>0.5</v>
      </c>
      <c r="C93" s="3">
        <v>5.5</v>
      </c>
      <c r="D93" s="3">
        <v>105.331971300067</v>
      </c>
      <c r="E93" s="3"/>
      <c r="F93" s="3"/>
      <c r="G93" s="3">
        <v>105.31694130005801</v>
      </c>
      <c r="H93" s="3">
        <v>105.331971300067</v>
      </c>
      <c r="I93" s="3">
        <v>105.830517700058</v>
      </c>
      <c r="J93" s="3">
        <v>105.830517700058</v>
      </c>
      <c r="K93" s="3">
        <v>105.84710820007599</v>
      </c>
      <c r="L93" s="3">
        <v>106.13194230001</v>
      </c>
      <c r="M93" s="3">
        <v>106.18254469998701</v>
      </c>
      <c r="N93" s="3" t="s">
        <v>30</v>
      </c>
      <c r="O93" s="3">
        <v>5.5</v>
      </c>
      <c r="P93" s="3">
        <v>1</v>
      </c>
      <c r="Q93" s="3">
        <v>1</v>
      </c>
      <c r="R93" s="3">
        <v>0.35125750000588601</v>
      </c>
      <c r="S93" s="3">
        <v>833159</v>
      </c>
      <c r="T93" s="3">
        <v>1</v>
      </c>
      <c r="U93" s="3" t="s">
        <v>31</v>
      </c>
      <c r="V93" s="3" t="s">
        <v>32</v>
      </c>
      <c r="W93" s="3"/>
      <c r="X93" s="3" t="s">
        <v>33</v>
      </c>
      <c r="Y93" s="3">
        <v>59.044180997170301</v>
      </c>
      <c r="Z93" s="3" t="s">
        <v>34</v>
      </c>
      <c r="AA93" s="3">
        <f t="shared" si="6"/>
        <v>92</v>
      </c>
      <c r="AB93" s="3">
        <f t="shared" si="7"/>
        <v>0</v>
      </c>
      <c r="AC93" s="3">
        <f t="shared" si="8"/>
        <v>0</v>
      </c>
      <c r="AD93" s="3">
        <f>SUM(AC$2:AC93)</f>
        <v>16</v>
      </c>
    </row>
    <row r="94" spans="1:30" x14ac:dyDescent="0.3">
      <c r="A94" s="3">
        <v>92</v>
      </c>
      <c r="B94" s="3">
        <v>0.5</v>
      </c>
      <c r="C94" s="3">
        <v>5.5</v>
      </c>
      <c r="D94" s="3">
        <v>106.197703700047</v>
      </c>
      <c r="E94" s="3"/>
      <c r="F94" s="3"/>
      <c r="G94" s="3">
        <v>106.182884300011</v>
      </c>
      <c r="H94" s="3">
        <v>106.197703700047</v>
      </c>
      <c r="I94" s="3">
        <v>106.696600300027</v>
      </c>
      <c r="J94" s="3">
        <v>106.696600300027</v>
      </c>
      <c r="K94" s="3">
        <v>106.696600300027</v>
      </c>
      <c r="L94" s="3">
        <v>106.99734500004</v>
      </c>
      <c r="M94" s="3">
        <v>107.364623300033</v>
      </c>
      <c r="N94" s="3" t="s">
        <v>35</v>
      </c>
      <c r="O94" s="3">
        <v>-5.5</v>
      </c>
      <c r="P94" s="3">
        <v>1</v>
      </c>
      <c r="Q94" s="3">
        <v>1</v>
      </c>
      <c r="R94" s="3">
        <v>0.65347719995770603</v>
      </c>
      <c r="S94" s="3">
        <v>833159</v>
      </c>
      <c r="T94" s="3">
        <v>1</v>
      </c>
      <c r="U94" s="3" t="s">
        <v>31</v>
      </c>
      <c r="V94" s="3" t="s">
        <v>32</v>
      </c>
      <c r="W94" s="3"/>
      <c r="X94" s="3" t="s">
        <v>33</v>
      </c>
      <c r="Y94" s="3">
        <v>59.044180997170301</v>
      </c>
      <c r="Z94" s="3" t="s">
        <v>34</v>
      </c>
      <c r="AA94" s="3">
        <f t="shared" si="6"/>
        <v>93</v>
      </c>
      <c r="AB94" s="3">
        <f t="shared" si="7"/>
        <v>1</v>
      </c>
      <c r="AC94" s="3">
        <f t="shared" si="8"/>
        <v>0</v>
      </c>
      <c r="AD94" s="3">
        <f>SUM(AC$2:AC94)</f>
        <v>16</v>
      </c>
    </row>
    <row r="95" spans="1:30" x14ac:dyDescent="0.3">
      <c r="A95" s="3">
        <v>93</v>
      </c>
      <c r="B95" s="3">
        <v>0.5</v>
      </c>
      <c r="C95" s="3">
        <v>5.5</v>
      </c>
      <c r="D95" s="3">
        <v>107.381061200053</v>
      </c>
      <c r="E95" s="3"/>
      <c r="F95" s="3"/>
      <c r="G95" s="3">
        <v>107.36491440003699</v>
      </c>
      <c r="H95" s="3">
        <v>107.381061200053</v>
      </c>
      <c r="I95" s="3">
        <v>107.865175500047</v>
      </c>
      <c r="J95" s="3">
        <v>107.865175500047</v>
      </c>
      <c r="K95" s="3">
        <v>107.88283330004199</v>
      </c>
      <c r="L95" s="3">
        <v>108.165960000013</v>
      </c>
      <c r="M95" s="3">
        <v>108.4018775</v>
      </c>
      <c r="N95" s="3" t="s">
        <v>35</v>
      </c>
      <c r="O95" s="3">
        <v>-5.5</v>
      </c>
      <c r="P95" s="3">
        <v>1</v>
      </c>
      <c r="Q95" s="3">
        <v>1</v>
      </c>
      <c r="R95" s="3">
        <v>0.53112990001682203</v>
      </c>
      <c r="S95" s="3">
        <v>833159</v>
      </c>
      <c r="T95" s="3">
        <v>1</v>
      </c>
      <c r="U95" s="3" t="s">
        <v>31</v>
      </c>
      <c r="V95" s="3" t="s">
        <v>32</v>
      </c>
      <c r="W95" s="3"/>
      <c r="X95" s="3" t="s">
        <v>33</v>
      </c>
      <c r="Y95" s="3">
        <v>59.044180997170301</v>
      </c>
      <c r="Z95" s="3" t="s">
        <v>34</v>
      </c>
      <c r="AA95" s="3">
        <f t="shared" si="6"/>
        <v>94</v>
      </c>
      <c r="AB95" s="3">
        <f t="shared" si="7"/>
        <v>1</v>
      </c>
      <c r="AC95" s="3">
        <f t="shared" si="8"/>
        <v>0</v>
      </c>
      <c r="AD95" s="3">
        <f>SUM(AC$2:AC95)</f>
        <v>16</v>
      </c>
    </row>
    <row r="96" spans="1:30" x14ac:dyDescent="0.3">
      <c r="A96" s="3">
        <v>94</v>
      </c>
      <c r="B96" s="3">
        <v>0.5</v>
      </c>
      <c r="C96" s="3">
        <v>5</v>
      </c>
      <c r="D96" s="3">
        <v>108.416419500019</v>
      </c>
      <c r="E96" s="3"/>
      <c r="F96" s="3"/>
      <c r="G96" s="3">
        <v>108.402372500044</v>
      </c>
      <c r="H96" s="3">
        <v>108.416419500019</v>
      </c>
      <c r="I96" s="3">
        <v>108.914582900005</v>
      </c>
      <c r="J96" s="3">
        <v>108.914582900005</v>
      </c>
      <c r="K96" s="3">
        <v>108.932767800055</v>
      </c>
      <c r="L96" s="3">
        <v>109.216907000053</v>
      </c>
      <c r="M96" s="3">
        <v>109.415154200047</v>
      </c>
      <c r="N96" s="3" t="s">
        <v>35</v>
      </c>
      <c r="O96" s="3">
        <v>-5</v>
      </c>
      <c r="P96" s="3">
        <v>1</v>
      </c>
      <c r="Q96" s="3">
        <v>1</v>
      </c>
      <c r="R96" s="3">
        <v>0.48735630000010099</v>
      </c>
      <c r="S96" s="3">
        <v>833159</v>
      </c>
      <c r="T96" s="3">
        <v>1</v>
      </c>
      <c r="U96" s="3" t="s">
        <v>31</v>
      </c>
      <c r="V96" s="3" t="s">
        <v>32</v>
      </c>
      <c r="W96" s="3"/>
      <c r="X96" s="3" t="s">
        <v>33</v>
      </c>
      <c r="Y96" s="3">
        <v>59.044180997170301</v>
      </c>
      <c r="Z96" s="3" t="s">
        <v>34</v>
      </c>
      <c r="AA96" s="3">
        <f t="shared" si="6"/>
        <v>95</v>
      </c>
      <c r="AB96" s="3">
        <f t="shared" si="7"/>
        <v>1</v>
      </c>
      <c r="AC96" s="3">
        <f t="shared" si="8"/>
        <v>0</v>
      </c>
      <c r="AD96" s="3">
        <f>SUM(AC$2:AC96)</f>
        <v>16</v>
      </c>
    </row>
    <row r="97" spans="1:30" x14ac:dyDescent="0.3">
      <c r="A97" s="3">
        <v>95</v>
      </c>
      <c r="B97" s="3">
        <v>0.5</v>
      </c>
      <c r="C97" s="3">
        <v>5</v>
      </c>
      <c r="D97" s="3">
        <v>109.43181970005401</v>
      </c>
      <c r="E97" s="3"/>
      <c r="F97" s="3"/>
      <c r="G97" s="3">
        <v>109.41544880007901</v>
      </c>
      <c r="H97" s="3">
        <v>109.43181970005401</v>
      </c>
      <c r="I97" s="3">
        <v>109.91605580004401</v>
      </c>
      <c r="J97" s="3">
        <v>109.91605580004401</v>
      </c>
      <c r="K97" s="3">
        <v>109.93133930000501</v>
      </c>
      <c r="L97" s="3">
        <v>110.216276400024</v>
      </c>
      <c r="M97" s="3">
        <v>110.51694980007601</v>
      </c>
      <c r="N97" s="3" t="s">
        <v>30</v>
      </c>
      <c r="O97" s="3">
        <v>5</v>
      </c>
      <c r="P97" s="3">
        <v>1</v>
      </c>
      <c r="Q97" s="3">
        <v>1</v>
      </c>
      <c r="R97" s="3">
        <v>0.59522559994365998</v>
      </c>
      <c r="S97" s="3">
        <v>833159</v>
      </c>
      <c r="T97" s="3">
        <v>1</v>
      </c>
      <c r="U97" s="3" t="s">
        <v>31</v>
      </c>
      <c r="V97" s="3" t="s">
        <v>32</v>
      </c>
      <c r="W97" s="3"/>
      <c r="X97" s="3" t="s">
        <v>33</v>
      </c>
      <c r="Y97" s="3">
        <v>59.044180997170301</v>
      </c>
      <c r="Z97" s="3" t="s">
        <v>34</v>
      </c>
      <c r="AA97" s="3">
        <f t="shared" si="6"/>
        <v>96</v>
      </c>
      <c r="AB97" s="3">
        <f t="shared" si="7"/>
        <v>1</v>
      </c>
      <c r="AC97" s="3">
        <f t="shared" si="8"/>
        <v>0</v>
      </c>
      <c r="AD97" s="3">
        <f>SUM(AC$2:AC97)</f>
        <v>16</v>
      </c>
    </row>
    <row r="98" spans="1:30" x14ac:dyDescent="0.3">
      <c r="A98" s="3">
        <v>96</v>
      </c>
      <c r="B98" s="3">
        <v>0.5</v>
      </c>
      <c r="C98" s="3">
        <v>5</v>
      </c>
      <c r="D98" s="3">
        <v>110.53221400000599</v>
      </c>
      <c r="E98" s="3"/>
      <c r="F98" s="3"/>
      <c r="G98" s="3">
        <v>110.517369600013</v>
      </c>
      <c r="H98" s="3">
        <v>110.53221400000599</v>
      </c>
      <c r="I98" s="3">
        <v>111.03120760002599</v>
      </c>
      <c r="J98" s="3">
        <v>111.03120760002599</v>
      </c>
      <c r="K98" s="3">
        <v>111.03120760002599</v>
      </c>
      <c r="L98" s="3">
        <v>111.330746100051</v>
      </c>
      <c r="M98" s="3">
        <v>111.567099099979</v>
      </c>
      <c r="N98" s="3" t="s">
        <v>30</v>
      </c>
      <c r="O98" s="3">
        <v>5</v>
      </c>
      <c r="P98" s="3">
        <v>1</v>
      </c>
      <c r="Q98" s="3">
        <v>1</v>
      </c>
      <c r="R98" s="3">
        <v>0.53467049996834304</v>
      </c>
      <c r="S98" s="3">
        <v>833159</v>
      </c>
      <c r="T98" s="3">
        <v>1</v>
      </c>
      <c r="U98" s="3" t="s">
        <v>31</v>
      </c>
      <c r="V98" s="3" t="s">
        <v>32</v>
      </c>
      <c r="W98" s="3"/>
      <c r="X98" s="3" t="s">
        <v>33</v>
      </c>
      <c r="Y98" s="3">
        <v>59.044180997170301</v>
      </c>
      <c r="Z98" s="3" t="s">
        <v>34</v>
      </c>
      <c r="AA98" s="3">
        <f t="shared" si="6"/>
        <v>97</v>
      </c>
      <c r="AB98" s="3">
        <f t="shared" si="7"/>
        <v>1</v>
      </c>
      <c r="AC98" s="3">
        <f t="shared" si="8"/>
        <v>0</v>
      </c>
      <c r="AD98" s="3">
        <f>SUM(AC$2:AC98)</f>
        <v>16</v>
      </c>
    </row>
    <row r="99" spans="1:30" x14ac:dyDescent="0.3">
      <c r="A99" s="3">
        <v>97</v>
      </c>
      <c r="B99" s="3">
        <v>0.5</v>
      </c>
      <c r="C99" s="3">
        <v>4.5</v>
      </c>
      <c r="D99" s="3">
        <v>111.582259200048</v>
      </c>
      <c r="E99" s="3"/>
      <c r="F99" s="3"/>
      <c r="G99" s="3">
        <v>111.567586999969</v>
      </c>
      <c r="H99" s="3">
        <v>111.582259200048</v>
      </c>
      <c r="I99" s="3">
        <v>112.08195830008501</v>
      </c>
      <c r="J99" s="3">
        <v>112.08195830008501</v>
      </c>
      <c r="K99" s="3">
        <v>112.08195830008501</v>
      </c>
      <c r="L99" s="3">
        <v>112.381601399975</v>
      </c>
      <c r="M99" s="3">
        <v>112.583027600078</v>
      </c>
      <c r="N99" s="3" t="s">
        <v>35</v>
      </c>
      <c r="O99" s="3">
        <v>-4.5</v>
      </c>
      <c r="P99" s="3">
        <v>1</v>
      </c>
      <c r="Q99" s="3">
        <v>1</v>
      </c>
      <c r="R99" s="3">
        <v>0.49719840008765498</v>
      </c>
      <c r="S99" s="3">
        <v>833159</v>
      </c>
      <c r="T99" s="3">
        <v>1</v>
      </c>
      <c r="U99" s="3" t="s">
        <v>31</v>
      </c>
      <c r="V99" s="3" t="s">
        <v>32</v>
      </c>
      <c r="W99" s="3"/>
      <c r="X99" s="3" t="s">
        <v>33</v>
      </c>
      <c r="Y99" s="3">
        <v>59.044180997170301</v>
      </c>
      <c r="Z99" s="3" t="s">
        <v>34</v>
      </c>
      <c r="AA99" s="3">
        <f t="shared" si="6"/>
        <v>98</v>
      </c>
      <c r="AB99" s="3">
        <f t="shared" si="7"/>
        <v>1</v>
      </c>
      <c r="AC99" s="3">
        <f t="shared" ref="AC99:AC130" si="9">IF(AND(AB99=1,Q99=0),1,0)</f>
        <v>0</v>
      </c>
      <c r="AD99" s="3">
        <f>SUM(AC$2:AC99)</f>
        <v>16</v>
      </c>
    </row>
    <row r="100" spans="1:30" x14ac:dyDescent="0.3">
      <c r="A100" s="3">
        <v>98</v>
      </c>
      <c r="B100" s="3">
        <v>0.5</v>
      </c>
      <c r="C100" s="3">
        <v>4.5</v>
      </c>
      <c r="D100" s="3">
        <v>112.59850670001499</v>
      </c>
      <c r="E100" s="3"/>
      <c r="F100" s="3"/>
      <c r="G100" s="3">
        <v>112.58339040004699</v>
      </c>
      <c r="H100" s="3">
        <v>112.59850670001499</v>
      </c>
      <c r="I100" s="3">
        <v>113.083845400019</v>
      </c>
      <c r="J100" s="3">
        <v>113.083845400019</v>
      </c>
      <c r="K100" s="3">
        <v>113.09785780008001</v>
      </c>
      <c r="L100" s="3">
        <v>113.397583300015</v>
      </c>
      <c r="M100" s="3">
        <v>113.599947500043</v>
      </c>
      <c r="N100" s="3" t="s">
        <v>35</v>
      </c>
      <c r="O100" s="3">
        <v>-4.5</v>
      </c>
      <c r="P100" s="3">
        <v>1</v>
      </c>
      <c r="Q100" s="3">
        <v>1</v>
      </c>
      <c r="R100" s="3">
        <v>0.51332969998475197</v>
      </c>
      <c r="S100" s="3">
        <v>833159</v>
      </c>
      <c r="T100" s="3">
        <v>1</v>
      </c>
      <c r="U100" s="3" t="s">
        <v>31</v>
      </c>
      <c r="V100" s="3" t="s">
        <v>32</v>
      </c>
      <c r="W100" s="3"/>
      <c r="X100" s="3" t="s">
        <v>33</v>
      </c>
      <c r="Y100" s="3">
        <v>59.044180997170301</v>
      </c>
      <c r="Z100" s="3" t="s">
        <v>34</v>
      </c>
      <c r="AA100" s="3">
        <f t="shared" si="6"/>
        <v>99</v>
      </c>
      <c r="AB100" s="3">
        <f t="shared" si="7"/>
        <v>1</v>
      </c>
      <c r="AC100" s="3">
        <f t="shared" si="9"/>
        <v>0</v>
      </c>
      <c r="AD100" s="3">
        <f>SUM(AC$2:AC100)</f>
        <v>16</v>
      </c>
    </row>
    <row r="101" spans="1:30" x14ac:dyDescent="0.3">
      <c r="A101" s="3">
        <v>99</v>
      </c>
      <c r="B101" s="3">
        <v>0.5</v>
      </c>
      <c r="C101" s="3">
        <v>4.5</v>
      </c>
      <c r="D101" s="3">
        <v>113.61461420008</v>
      </c>
      <c r="E101" s="3"/>
      <c r="F101" s="3"/>
      <c r="G101" s="3">
        <v>113.600328800036</v>
      </c>
      <c r="H101" s="3">
        <v>113.61461420008</v>
      </c>
      <c r="I101" s="3">
        <v>114.098541700048</v>
      </c>
      <c r="J101" s="3">
        <v>114.098541700048</v>
      </c>
      <c r="K101" s="3">
        <v>114.11450150003699</v>
      </c>
      <c r="L101" s="3">
        <v>114.398600800079</v>
      </c>
      <c r="M101" s="3">
        <v>114.615352199995</v>
      </c>
      <c r="N101" s="3" t="s">
        <v>30</v>
      </c>
      <c r="O101" s="3">
        <v>4.5</v>
      </c>
      <c r="P101" s="3">
        <v>1</v>
      </c>
      <c r="Q101" s="3">
        <v>1</v>
      </c>
      <c r="R101" s="3">
        <v>0.50844150001648802</v>
      </c>
      <c r="S101" s="3">
        <v>833159</v>
      </c>
      <c r="T101" s="3">
        <v>1</v>
      </c>
      <c r="U101" s="3" t="s">
        <v>31</v>
      </c>
      <c r="V101" s="3" t="s">
        <v>32</v>
      </c>
      <c r="W101" s="3"/>
      <c r="X101" s="3" t="s">
        <v>33</v>
      </c>
      <c r="Y101" s="3">
        <v>59.044180997170301</v>
      </c>
      <c r="Z101" s="3" t="s">
        <v>34</v>
      </c>
      <c r="AA101" s="3">
        <f t="shared" si="6"/>
        <v>100</v>
      </c>
      <c r="AB101" s="3">
        <f t="shared" si="7"/>
        <v>1</v>
      </c>
      <c r="AC101" s="3">
        <f t="shared" si="9"/>
        <v>0</v>
      </c>
      <c r="AD101" s="3">
        <f>SUM(AC$2:AC101)</f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zoomScaleNormal="100" workbookViewId="0">
      <selection activeCell="A12" sqref="A12"/>
    </sheetView>
  </sheetViews>
  <sheetFormatPr defaultColWidth="8.6640625" defaultRowHeight="14.4" x14ac:dyDescent="0.3"/>
  <cols>
    <col min="1" max="1" width="48" customWidth="1"/>
    <col min="2" max="2" width="14" customWidth="1"/>
    <col min="3" max="3" width="22" customWidth="1"/>
  </cols>
  <sheetData>
    <row r="1" spans="1:3" ht="17.399999999999999" x14ac:dyDescent="0.3">
      <c r="A1" s="5" t="s">
        <v>36</v>
      </c>
    </row>
    <row r="2" spans="1:3" x14ac:dyDescent="0.3">
      <c r="A2" s="3" t="s">
        <v>37</v>
      </c>
    </row>
    <row r="4" spans="1:3" x14ac:dyDescent="0.3">
      <c r="A4" s="6" t="s">
        <v>38</v>
      </c>
    </row>
    <row r="5" spans="1:3" x14ac:dyDescent="0.3">
      <c r="A5" s="3" t="s">
        <v>39</v>
      </c>
      <c r="B5" s="3">
        <f>COUNT(Data!A2:A101)</f>
        <v>100</v>
      </c>
    </row>
    <row r="6" spans="1:3" x14ac:dyDescent="0.3">
      <c r="A6" s="3" t="s">
        <v>40</v>
      </c>
      <c r="B6" s="3">
        <f>SUM(Data!AC2:AC101)</f>
        <v>16</v>
      </c>
    </row>
    <row r="7" spans="1:3" x14ac:dyDescent="0.3">
      <c r="A7" s="3" t="s">
        <v>41</v>
      </c>
      <c r="B7" s="15">
        <v>5</v>
      </c>
      <c r="C7" s="7"/>
    </row>
    <row r="8" spans="1:3" x14ac:dyDescent="0.3">
      <c r="A8" s="3" t="s">
        <v>42</v>
      </c>
      <c r="B8" s="8">
        <f>AVERAGE(Data!Q2:Q101)</f>
        <v>0.76</v>
      </c>
    </row>
    <row r="9" spans="1:3" x14ac:dyDescent="0.3">
      <c r="A9" s="3" t="s">
        <v>43</v>
      </c>
      <c r="B9" s="3">
        <f>Data!B101</f>
        <v>0.5</v>
      </c>
    </row>
    <row r="11" spans="1:3" x14ac:dyDescent="0.3">
      <c r="A11" s="6" t="s">
        <v>44</v>
      </c>
    </row>
    <row r="12" spans="1:3" x14ac:dyDescent="0.3">
      <c r="A12" s="9" t="s">
        <v>45</v>
      </c>
      <c r="B12" s="9" t="s">
        <v>46</v>
      </c>
      <c r="C12" s="9" t="s">
        <v>47</v>
      </c>
    </row>
    <row r="13" spans="1:3" x14ac:dyDescent="0.3">
      <c r="A13" s="10">
        <f>$B$6-$B$7+1</f>
        <v>12</v>
      </c>
      <c r="B13" s="10">
        <f>INDEX(Data!$AA$2:$AA$101,MATCH(A13,Data!$AD$2:$AD$101,0))</f>
        <v>72</v>
      </c>
      <c r="C13" s="11">
        <f>INDEX(Data!$C$2:$C$101,MATCH(A13,Data!$AD$2:$AD$101,0))</f>
        <v>2</v>
      </c>
    </row>
    <row r="14" spans="1:3" x14ac:dyDescent="0.3">
      <c r="A14" s="10">
        <f>$B$6-$B$7+2</f>
        <v>13</v>
      </c>
      <c r="B14" s="10">
        <f>INDEX(Data!$AA$2:$AA$101,MATCH(A14,Data!$AD$2:$AD$101,0))</f>
        <v>77</v>
      </c>
      <c r="C14" s="11">
        <f>INDEX(Data!$C$2:$C$101,MATCH(A14,Data!$AD$2:$AD$101,0))</f>
        <v>2</v>
      </c>
    </row>
    <row r="15" spans="1:3" x14ac:dyDescent="0.3">
      <c r="A15" s="10">
        <f>$B$6-$B$7+3</f>
        <v>14</v>
      </c>
      <c r="B15" s="10">
        <f>INDEX(Data!$AA$2:$AA$101,MATCH(A15,Data!$AD$2:$AD$101,0))</f>
        <v>81</v>
      </c>
      <c r="C15" s="11">
        <f>INDEX(Data!$C$2:$C$101,MATCH(A15,Data!$AD$2:$AD$101,0))</f>
        <v>2</v>
      </c>
    </row>
    <row r="16" spans="1:3" x14ac:dyDescent="0.3">
      <c r="A16" s="10">
        <f>$B$6-$B$7+4</f>
        <v>15</v>
      </c>
      <c r="B16" s="10">
        <f>INDEX(Data!$AA$2:$AA$101,MATCH(A16,Data!$AD$2:$AD$101,0))</f>
        <v>86</v>
      </c>
      <c r="C16" s="11">
        <f>INDEX(Data!$C$2:$C$101,MATCH(A16,Data!$AD$2:$AD$101,0))</f>
        <v>3.5</v>
      </c>
    </row>
    <row r="17" spans="1:3" x14ac:dyDescent="0.3">
      <c r="A17" s="10">
        <f>$B$6-$B$7+5</f>
        <v>16</v>
      </c>
      <c r="B17" s="10">
        <f>INDEX(Data!$AA$2:$AA$101,MATCH(A17,Data!$AD$2:$AD$101,0))</f>
        <v>90</v>
      </c>
      <c r="C17" s="11">
        <f>INDEX(Data!$C$2:$C$101,MATCH(A17,Data!$AD$2:$AD$101,0))</f>
        <v>4.5</v>
      </c>
    </row>
    <row r="19" spans="1:3" ht="15.6" x14ac:dyDescent="0.3">
      <c r="A19" s="6" t="s">
        <v>48</v>
      </c>
      <c r="C19" s="14">
        <f>AVERAGE(C13:C17)</f>
        <v>2.8</v>
      </c>
    </row>
    <row r="20" spans="1:3" x14ac:dyDescent="0.3">
      <c r="A20" s="3" t="s">
        <v>49</v>
      </c>
      <c r="C20" s="12">
        <f>STDEV(C13:C17)</f>
        <v>1.1510864433221335</v>
      </c>
    </row>
    <row r="21" spans="1:3" x14ac:dyDescent="0.3">
      <c r="A21" s="3" t="s">
        <v>50</v>
      </c>
      <c r="C21" s="12">
        <f>C20/SQRT(COUNT(C13:C17))</f>
        <v>0.51478150704934988</v>
      </c>
    </row>
    <row r="23" spans="1:3" x14ac:dyDescent="0.3">
      <c r="A23" s="6" t="s">
        <v>51</v>
      </c>
    </row>
    <row r="24" spans="1:3" x14ac:dyDescent="0.3">
      <c r="A24" s="13" t="s">
        <v>52</v>
      </c>
    </row>
    <row r="25" spans="1:3" x14ac:dyDescent="0.3">
      <c r="A25" s="13" t="s">
        <v>53</v>
      </c>
    </row>
    <row r="26" spans="1:3" x14ac:dyDescent="0.3">
      <c r="A26" s="13" t="s">
        <v>54</v>
      </c>
    </row>
    <row r="27" spans="1:3" x14ac:dyDescent="0.3">
      <c r="A27" s="13" t="s"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6640625" defaultRowHeight="14.4" x14ac:dyDescent="0.3"/>
  <sheetData>
    <row r="1" spans="1:1" ht="17.399999999999999" x14ac:dyDescent="0.3">
      <c r="A1" s="5" t="s">
        <v>56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Palak Swaroop Jain (24 JSPC)</cp:lastModifiedBy>
  <cp:revision>1</cp:revision>
  <dcterms:created xsi:type="dcterms:W3CDTF">2026-09-28T16:18:04Z</dcterms:created>
  <dcterms:modified xsi:type="dcterms:W3CDTF">2026-10-03T13:31:35Z</dcterms:modified>
  <dc:language>en-US</dc:language>
</cp:coreProperties>
</file>